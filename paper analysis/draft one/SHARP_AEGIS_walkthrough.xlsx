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_README" sheetId="1" state="visible" r:id="rId1"/>
    <sheet name="S1_Input" sheetId="2" state="visible" r:id="rId2"/>
    <sheet name="S2_Governance" sheetId="3" state="visible" r:id="rId3"/>
    <sheet name="S3_WOE_IV" sheetId="4" state="visible" r:id="rId4"/>
    <sheet name="S4_Encoded" sheetId="5" state="visible" r:id="rId5"/>
    <sheet name="S5_Shapley" sheetId="6" state="visible" r:id="rId6"/>
    <sheet name="S5b_Engine" sheetId="7" state="visible" r:id="rId7"/>
    <sheet name="S6_Parsimony" sheetId="8" state="visible" r:id="rId8"/>
    <sheet name="S7_Scorecard" sheetId="9" state="visible" r:id="rId9"/>
    <sheet name="S8_Grades" sheetId="10" state="visible" r:id="rId10"/>
    <sheet name="S9_Backtest" sheetId="11" state="visible" r:id="rId11"/>
    <sheet name="S10_Verdict" sheetId="12" state="visible" r:id="rId12"/>
    <sheet name="S11_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21">
    <font>
      <name val="Calibri"/>
      <family val="2"/>
      <color theme="1"/>
      <sz val="11"/>
      <scheme val="minor"/>
    </font>
    <font>
      <name val="Arial"/>
      <b val="1"/>
      <color rgb="001F3B63"/>
      <sz val="15"/>
    </font>
    <font>
      <name val="Arial"/>
      <i val="1"/>
      <color rgb="00808080"/>
      <sz val="9"/>
    </font>
    <font>
      <name val="Arial"/>
      <b val="1"/>
      <color rgb="001F3B63"/>
      <sz val="11"/>
    </font>
    <font>
      <name val="Arial"/>
      <color rgb="00333333"/>
      <sz val="9.5"/>
    </font>
    <font>
      <name val="Arial"/>
      <color rgb="00000000"/>
      <sz val="9.5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i val="1"/>
      <color rgb="00808080"/>
      <sz val="8.5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FF"/>
      <sz val="10"/>
    </font>
    <font>
      <name val="Arial"/>
      <color rgb="00808080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color rgb="00808080"/>
      <sz val="9"/>
    </font>
    <font>
      <name val="Arial"/>
      <b val="1"/>
      <color rgb="00000000"/>
      <sz val="11"/>
    </font>
    <font>
      <name val="Arial"/>
      <b val="1"/>
      <color rgb="001F3B63"/>
      <sz val="12"/>
    </font>
  </fonts>
  <fills count="7">
    <fill>
      <patternFill/>
    </fill>
    <fill>
      <patternFill patternType="gray125"/>
    </fill>
    <fill>
      <patternFill patternType="solid">
        <fgColor rgb="00E7ECF4"/>
      </patternFill>
    </fill>
    <fill>
      <patternFill patternType="solid">
        <fgColor rgb="001F3B63"/>
      </patternFill>
    </fill>
    <fill>
      <patternFill patternType="solid">
        <fgColor rgb="00F7ECD6"/>
      </patternFill>
    </fill>
    <fill>
      <patternFill patternType="solid">
        <fgColor rgb="00FFF4D6"/>
      </patternFill>
    </fill>
    <fill>
      <patternFill patternType="solid">
        <fgColor rgb="00E2F1E8"/>
      </patternFill>
    </fill>
  </fills>
  <borders count="13">
    <border>
      <left/>
      <right/>
      <top/>
      <bottom/>
      <diagonal/>
    </border>
    <border>
      <left style="thin">
        <color rgb="00C9C2B2"/>
      </left>
      <right style="thin">
        <color rgb="00C9C2B2"/>
      </right>
      <top style="thin">
        <color rgb="00C9C2B2"/>
      </top>
      <bottom style="thin">
        <color rgb="00C9C2B2"/>
      </bottom>
    </border>
    <border>
      <left/>
      <right/>
      <top style="thin">
        <color rgb="00C9C2B2"/>
      </top>
      <bottom/>
      <diagonal/>
    </border>
    <border>
      <left/>
      <right style="thin">
        <color rgb="00C9C2B2"/>
      </right>
      <top style="thin">
        <color rgb="00C9C2B2"/>
      </top>
      <bottom/>
      <diagonal/>
    </border>
    <border>
      <left/>
      <right/>
      <top style="thin">
        <color rgb="00C9C2B2"/>
      </top>
      <bottom style="thin">
        <color rgb="00C9C2B2"/>
      </bottom>
      <diagonal/>
    </border>
    <border>
      <left/>
      <right style="thin">
        <color rgb="00C9C2B2"/>
      </right>
      <top style="thin">
        <color rgb="00C9C2B2"/>
      </top>
      <bottom style="thin">
        <color rgb="00C9C2B2"/>
      </bottom>
      <diagonal/>
    </border>
    <border>
      <left style="thin">
        <color rgb="00C9C2B2"/>
      </left>
      <right/>
      <top/>
      <bottom/>
      <diagonal/>
    </border>
    <border>
      <left style="thin">
        <color rgb="00C9C2B2"/>
      </left>
      <right style="thin">
        <color rgb="00C9C2B2"/>
      </right>
      <top/>
      <bottom/>
      <diagonal/>
    </border>
    <border>
      <left style="thin">
        <color rgb="00C9C2B2"/>
      </left>
      <right style="thin">
        <color rgb="00C9C2B2"/>
      </right>
      <top/>
      <bottom style="thin">
        <color rgb="00C9C2B2"/>
      </bottom>
      <diagonal/>
    </border>
    <border>
      <left/>
      <right style="thin">
        <color rgb="00C9C2B2"/>
      </right>
      <top/>
      <bottom/>
      <diagonal/>
    </border>
    <border>
      <left style="thin">
        <color rgb="00C9C2B2"/>
      </left>
      <right/>
      <top/>
      <bottom style="thin">
        <color rgb="00C9C2B2"/>
      </bottom>
      <diagonal/>
    </border>
    <border>
      <left/>
      <right/>
      <top/>
      <bottom style="thin">
        <color rgb="00C9C2B2"/>
      </bottom>
      <diagonal/>
    </border>
    <border>
      <left/>
      <right style="thin">
        <color rgb="00C9C2B2"/>
      </right>
      <top/>
      <bottom style="thin">
        <color rgb="00C9C2B2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wrapText="1"/>
    </xf>
    <xf numFmtId="166" fontId="1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2" fontId="14" fillId="5" borderId="1" applyAlignment="1" pivotButton="0" quotePrefix="0" xfId="0">
      <alignment horizontal="center" vertical="center" wrapText="1"/>
    </xf>
    <xf numFmtId="10" fontId="11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10" fontId="6" fillId="6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SHARP – AEGIS  ·  interactive walkthrough</t>
        </is>
      </c>
    </row>
    <row r="2">
      <c r="A2" s="2" t="inlineStr">
        <is>
          <t>A fully formula-linked tour of the credit-model governance flow on a small example. Change the blue inputs and every tab recalculates.</t>
        </is>
      </c>
    </row>
    <row r="4">
      <c r="A4" s="3" t="inlineStr">
        <is>
          <t>How to read this workbook</t>
        </is>
      </c>
    </row>
    <row r="5">
      <c r="A5" s="4" t="inlineStr">
        <is>
          <t>Each tab is one step of the flow. Work left to right. Everything is live: edit the blue input cells on 'S1_Input' (or the yellow thresholds) and every downstream number — WOE, importance, the selected features, PDs, grades and the final verdict — recalculates automatically.</t>
        </is>
      </c>
    </row>
    <row r="7">
      <c r="A7" s="3" t="inlineStr">
        <is>
          <t>The flow (tab by tab)</t>
        </is>
      </c>
    </row>
    <row r="8">
      <c r="A8" s="5" t="inlineStr">
        <is>
          <t>S1_Input          →  the example data: 24 applicants, 3 features + default outcome.</t>
        </is>
      </c>
    </row>
    <row r="9">
      <c r="A9" s="5" t="inlineStr">
        <is>
          <t>S2_Governance     →  Stage 0 / Gate G0: which features are allowed; data sufficiency (EPV); materiality tier.</t>
        </is>
      </c>
    </row>
    <row r="10">
      <c r="A10" s="5" t="inlineStr">
        <is>
          <t>S3_WOE_IV         →  Stage 1: bin each feature, compute Weight-of-Evidence (WOE) and Information Value (IV); the univariate screen.</t>
        </is>
      </c>
    </row>
    <row r="11">
      <c r="A11" s="5" t="inlineStr">
        <is>
          <t>S4_Encoded        →  translate every applicant's values into WOE points (+ a shadow/noise feature).</t>
        </is>
      </c>
    </row>
    <row r="12">
      <c r="A12" s="5" t="inlineStr">
        <is>
          <t>S5_Shapley        →  Stage 2: fair importance of each feature (Shapley) vs a random 'shadow' bar (shadow-null).</t>
        </is>
      </c>
    </row>
    <row r="13">
      <c r="A13" s="5" t="inlineStr">
        <is>
          <t>S5b_Engine        →  the calculation engine behind S5 (every feature-subset's AUC). Reference only.</t>
        </is>
      </c>
    </row>
    <row r="14">
      <c r="A14" s="5" t="inlineStr">
        <is>
          <t>S6_Parsimony      →  Stage 3: smallest set of features that keeps almost all the power (≤ 5% Gini loss).</t>
        </is>
      </c>
    </row>
    <row r="15">
      <c r="A15" s="5" t="inlineStr">
        <is>
          <t>S7_Scorecard      →  Stage 4: turn WOE points into a calibrated probability of default (PD), floored at 0.03%.</t>
        </is>
      </c>
    </row>
    <row r="16">
      <c r="A16" s="5" t="inlineStr">
        <is>
          <t>S8_Grades         →  map PD to a rating grade and show the adverse-action reason codes.</t>
        </is>
      </c>
    </row>
    <row r="17">
      <c r="A17" s="5" t="inlineStr">
        <is>
          <t>S9_Backtest       →  Gate G4: per-grade observed vs predicted default, Wilson confidence intervals, calibration error.</t>
        </is>
      </c>
    </row>
    <row r="18">
      <c r="A18" s="5" t="inlineStr">
        <is>
          <t>S10_Verdict       →  Gate GF: the governed GO / GO-WITH-CONDITIONS / NO-GO recommendation, driven by the numbers.</t>
        </is>
      </c>
    </row>
    <row r="19">
      <c r="A19" s="5" t="inlineStr">
        <is>
          <t>S11_Reference     →  every fixed threshold and a one-line glossary of each term.</t>
        </is>
      </c>
    </row>
    <row r="20">
      <c r="A20" s="3" t="inlineStr">
        <is>
          <t>Colour legend</t>
        </is>
      </c>
    </row>
    <row r="21">
      <c r="A21" s="4" t="inlineStr">
        <is>
          <t>BLUE text = an input you can change.    YELLOW fill = a key threshold/assumption.    BLACK = a formula.    GREEN = a value pulled from another tab.</t>
        </is>
      </c>
    </row>
    <row r="23">
      <c r="A23" s="3" t="inlineStr">
        <is>
          <t>Honest simplifications (so this stays hand-checkable)</t>
        </is>
      </c>
    </row>
    <row r="24">
      <c r="A24" s="4" t="inlineStr">
        <is>
          <t>This teaching workbook uses faithful stand-ins for three things the production pipeline does in Python: (1) the model's 'value' is the AUC of the summed-WOE score, not a cross-validated logistic fit; (2) calibration is the observed default rate per score band, not isotonic regression; (3) feature selection uses the Gini tolerance only (DeLong's significance test is not computed in Excel). The LOGIC and the thresholds are identical to the real flow — only the heavy numerical machinery is simplified so you can trace every number by hand.</t>
        </is>
      </c>
    </row>
  </sheetData>
  <mergeCells count="3">
    <mergeCell ref="A5:J5"/>
    <mergeCell ref="A24:J24"/>
    <mergeCell ref="A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5" customWidth="1" min="5" max="5"/>
  </cols>
  <sheetData>
    <row r="1">
      <c r="A1" s="1" t="inlineStr">
        <is>
          <t>S1 · Input data</t>
        </is>
      </c>
    </row>
    <row r="2">
      <c r="A2" s="2" t="inlineStr">
        <is>
          <t>Edit any blue cell. These 24 applicants are an illustrative synthetic example (not a real portfolio).</t>
        </is>
      </c>
    </row>
    <row r="4">
      <c r="A4" s="6" t="inlineStr">
        <is>
          <t>Applicants (N)</t>
        </is>
      </c>
      <c r="B4" s="7">
        <f>COUNT(A12:A35)</f>
        <v/>
      </c>
    </row>
    <row r="5">
      <c r="A5" s="6" t="inlineStr">
        <is>
          <t>Defaults (events)</t>
        </is>
      </c>
      <c r="B5" s="7">
        <f>SUM(E12:E35)</f>
        <v/>
      </c>
    </row>
    <row r="6">
      <c r="A6" s="6" t="inlineStr">
        <is>
          <t>Base default rate</t>
        </is>
      </c>
      <c r="B6" s="8">
        <f>B5/B4</f>
        <v/>
      </c>
    </row>
    <row r="7">
      <c r="A7" s="6" t="inlineStr">
        <is>
          <t>Candidate features</t>
        </is>
      </c>
      <c r="B7" s="9" t="n">
        <v>3</v>
      </c>
    </row>
    <row r="8">
      <c r="A8" s="6" t="inlineStr">
        <is>
          <t>EPV = events / features</t>
        </is>
      </c>
      <c r="B8" s="10">
        <f>B5/B7</f>
        <v/>
      </c>
    </row>
    <row r="9">
      <c r="A9" s="11" t="inlineStr">
        <is>
          <t>EPV rule of thumb ≥ 10 (Peduzzi 1996). Here EPV is small — a known limitation of a 24-row teaching set.</t>
        </is>
      </c>
    </row>
    <row r="11">
      <c r="A11" s="12" t="inlineStr">
        <is>
          <t>ID</t>
        </is>
      </c>
      <c r="B11" s="12" t="inlineStr">
        <is>
          <t>Income (k)</t>
        </is>
      </c>
      <c r="C11" s="12" t="inlineStr">
        <is>
          <t>Debt (k)</t>
        </is>
      </c>
      <c r="D11" s="12" t="inlineStr">
        <is>
          <t>Emp (years)</t>
        </is>
      </c>
      <c r="E11" s="12" t="inlineStr">
        <is>
          <t>Default (1=bad)</t>
        </is>
      </c>
    </row>
    <row r="12">
      <c r="A12" s="13" t="n">
        <v>1</v>
      </c>
      <c r="B12" s="9" t="n">
        <v>60</v>
      </c>
      <c r="C12" s="9" t="n">
        <v>5</v>
      </c>
      <c r="D12" s="9" t="n">
        <v>10</v>
      </c>
      <c r="E12" s="9" t="n">
        <v>0</v>
      </c>
    </row>
    <row r="13">
      <c r="A13" s="13" t="n">
        <v>2</v>
      </c>
      <c r="B13" s="9" t="n">
        <v>55</v>
      </c>
      <c r="C13" s="9" t="n">
        <v>8</v>
      </c>
      <c r="D13" s="9" t="n">
        <v>8</v>
      </c>
      <c r="E13" s="9" t="n">
        <v>0</v>
      </c>
    </row>
    <row r="14">
      <c r="A14" s="13" t="n">
        <v>3</v>
      </c>
      <c r="B14" s="9" t="n">
        <v>50</v>
      </c>
      <c r="C14" s="9" t="n">
        <v>10</v>
      </c>
      <c r="D14" s="9" t="n">
        <v>6</v>
      </c>
      <c r="E14" s="9" t="n">
        <v>0</v>
      </c>
    </row>
    <row r="15">
      <c r="A15" s="13" t="n">
        <v>4</v>
      </c>
      <c r="B15" s="9" t="n">
        <v>48</v>
      </c>
      <c r="C15" s="9" t="n">
        <v>12</v>
      </c>
      <c r="D15" s="9" t="n">
        <v>5</v>
      </c>
      <c r="E15" s="9" t="n">
        <v>0</v>
      </c>
    </row>
    <row r="16">
      <c r="A16" s="13" t="n">
        <v>5</v>
      </c>
      <c r="B16" s="9" t="n">
        <v>45</v>
      </c>
      <c r="C16" s="9" t="n">
        <v>6</v>
      </c>
      <c r="D16" s="9" t="n">
        <v>7</v>
      </c>
      <c r="E16" s="9" t="n">
        <v>0</v>
      </c>
    </row>
    <row r="17">
      <c r="A17" s="13" t="n">
        <v>6</v>
      </c>
      <c r="B17" s="9" t="n">
        <v>42</v>
      </c>
      <c r="C17" s="9" t="n">
        <v>9</v>
      </c>
      <c r="D17" s="9" t="n">
        <v>4</v>
      </c>
      <c r="E17" s="9" t="n">
        <v>0</v>
      </c>
    </row>
    <row r="18">
      <c r="A18" s="13" t="n">
        <v>7</v>
      </c>
      <c r="B18" s="9" t="n">
        <v>40</v>
      </c>
      <c r="C18" s="9" t="n">
        <v>11</v>
      </c>
      <c r="D18" s="9" t="n">
        <v>6</v>
      </c>
      <c r="E18" s="9" t="n">
        <v>0</v>
      </c>
    </row>
    <row r="19">
      <c r="A19" s="13" t="n">
        <v>8</v>
      </c>
      <c r="B19" s="9" t="n">
        <v>38</v>
      </c>
      <c r="C19" s="9" t="n">
        <v>7</v>
      </c>
      <c r="D19" s="9" t="n">
        <v>5</v>
      </c>
      <c r="E19" s="9" t="n">
        <v>0</v>
      </c>
    </row>
    <row r="20">
      <c r="A20" s="13" t="n">
        <v>9</v>
      </c>
      <c r="B20" s="9" t="n">
        <v>37</v>
      </c>
      <c r="C20" s="9" t="n">
        <v>13</v>
      </c>
      <c r="D20" s="9" t="n">
        <v>2</v>
      </c>
      <c r="E20" s="9" t="n">
        <v>1</v>
      </c>
    </row>
    <row r="21">
      <c r="A21" s="13" t="n">
        <v>10</v>
      </c>
      <c r="B21" s="9" t="n">
        <v>33</v>
      </c>
      <c r="C21" s="9" t="n">
        <v>14</v>
      </c>
      <c r="D21" s="9" t="n">
        <v>1</v>
      </c>
      <c r="E21" s="9" t="n">
        <v>0</v>
      </c>
    </row>
    <row r="22">
      <c r="A22" s="13" t="n">
        <v>11</v>
      </c>
      <c r="B22" s="9" t="n">
        <v>34</v>
      </c>
      <c r="C22" s="9" t="n">
        <v>10</v>
      </c>
      <c r="D22" s="9" t="n">
        <v>2</v>
      </c>
      <c r="E22" s="9" t="n">
        <v>0</v>
      </c>
    </row>
    <row r="23">
      <c r="A23" s="13" t="n">
        <v>12</v>
      </c>
      <c r="B23" s="9" t="n">
        <v>36</v>
      </c>
      <c r="C23" s="9" t="n">
        <v>12</v>
      </c>
      <c r="D23" s="9" t="n">
        <v>1</v>
      </c>
      <c r="E23" s="9" t="n">
        <v>0</v>
      </c>
    </row>
    <row r="24">
      <c r="A24" s="13" t="n">
        <v>13</v>
      </c>
      <c r="B24" s="9" t="n">
        <v>44</v>
      </c>
      <c r="C24" s="9" t="n">
        <v>16</v>
      </c>
      <c r="D24" s="9" t="n">
        <v>4</v>
      </c>
      <c r="E24" s="9" t="n">
        <v>1</v>
      </c>
    </row>
    <row r="25">
      <c r="A25" s="13" t="n">
        <v>14</v>
      </c>
      <c r="B25" s="9" t="n">
        <v>39</v>
      </c>
      <c r="C25" s="9" t="n">
        <v>18</v>
      </c>
      <c r="D25" s="9" t="n">
        <v>5</v>
      </c>
      <c r="E25" s="9" t="n">
        <v>0</v>
      </c>
    </row>
    <row r="26">
      <c r="A26" s="13" t="n">
        <v>15</v>
      </c>
      <c r="B26" s="9" t="n">
        <v>46</v>
      </c>
      <c r="C26" s="9" t="n">
        <v>20</v>
      </c>
      <c r="D26" s="9" t="n">
        <v>3</v>
      </c>
      <c r="E26" s="9" t="n">
        <v>0</v>
      </c>
    </row>
    <row r="27">
      <c r="A27" s="13" t="n">
        <v>16</v>
      </c>
      <c r="B27" s="9" t="n">
        <v>41</v>
      </c>
      <c r="C27" s="9" t="n">
        <v>17</v>
      </c>
      <c r="D27" s="9" t="n">
        <v>6</v>
      </c>
      <c r="E27" s="9" t="n">
        <v>0</v>
      </c>
    </row>
    <row r="28">
      <c r="A28" s="13" t="n">
        <v>17</v>
      </c>
      <c r="B28" s="9" t="n">
        <v>34</v>
      </c>
      <c r="C28" s="9" t="n">
        <v>16</v>
      </c>
      <c r="D28" s="9" t="n">
        <v>2</v>
      </c>
      <c r="E28" s="9" t="n">
        <v>1</v>
      </c>
    </row>
    <row r="29">
      <c r="A29" s="13" t="n">
        <v>18</v>
      </c>
      <c r="B29" s="9" t="n">
        <v>30</v>
      </c>
      <c r="C29" s="9" t="n">
        <v>18</v>
      </c>
      <c r="D29" s="9" t="n">
        <v>1</v>
      </c>
      <c r="E29" s="9" t="n">
        <v>1</v>
      </c>
    </row>
    <row r="30">
      <c r="A30" s="13" t="n">
        <v>19</v>
      </c>
      <c r="B30" s="9" t="n">
        <v>28</v>
      </c>
      <c r="C30" s="9" t="n">
        <v>20</v>
      </c>
      <c r="D30" s="9" t="n">
        <v>2</v>
      </c>
      <c r="E30" s="9" t="n">
        <v>1</v>
      </c>
    </row>
    <row r="31">
      <c r="A31" s="13" t="n">
        <v>20</v>
      </c>
      <c r="B31" s="9" t="n">
        <v>25</v>
      </c>
      <c r="C31" s="9" t="n">
        <v>15</v>
      </c>
      <c r="D31" s="9" t="n">
        <v>1</v>
      </c>
      <c r="E31" s="9" t="n">
        <v>1</v>
      </c>
    </row>
    <row r="32">
      <c r="A32" s="13" t="n">
        <v>21</v>
      </c>
      <c r="B32" s="9" t="n">
        <v>22</v>
      </c>
      <c r="C32" s="9" t="n">
        <v>22</v>
      </c>
      <c r="D32" s="9" t="n">
        <v>0</v>
      </c>
      <c r="E32" s="9" t="n">
        <v>1</v>
      </c>
    </row>
    <row r="33">
      <c r="A33" s="13" t="n">
        <v>22</v>
      </c>
      <c r="B33" s="9" t="n">
        <v>20</v>
      </c>
      <c r="C33" s="9" t="n">
        <v>17</v>
      </c>
      <c r="D33" s="9" t="n">
        <v>1</v>
      </c>
      <c r="E33" s="9" t="n">
        <v>1</v>
      </c>
    </row>
    <row r="34">
      <c r="A34" s="13" t="n">
        <v>23</v>
      </c>
      <c r="B34" s="9" t="n">
        <v>32</v>
      </c>
      <c r="C34" s="9" t="n">
        <v>19</v>
      </c>
      <c r="D34" s="9" t="n">
        <v>2</v>
      </c>
      <c r="E34" s="9" t="n">
        <v>0</v>
      </c>
    </row>
    <row r="35">
      <c r="A35" s="13" t="n">
        <v>24</v>
      </c>
      <c r="B35" s="9" t="n">
        <v>31</v>
      </c>
      <c r="C35" s="9" t="n">
        <v>21</v>
      </c>
      <c r="D35" s="9" t="n">
        <v>2</v>
      </c>
      <c r="E35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24" customWidth="1" min="5" max="5"/>
  </cols>
  <sheetData>
    <row r="1">
      <c r="A1" s="1" t="inlineStr">
        <is>
          <t>S2 · Stage 0 / Gate G0 — eligibility, data sufficiency, tier</t>
        </is>
      </c>
    </row>
    <row r="2">
      <c r="A2" s="2" t="inlineStr">
        <is>
          <t>Runs before any statistics. Nothing is dropped here — this is the governance scoping that every later tab inherits.</t>
        </is>
      </c>
    </row>
    <row r="4">
      <c r="A4" s="6" t="inlineStr">
        <is>
          <t>Feature eligibility (ECOA / Reg B)</t>
        </is>
      </c>
      <c r="B4" s="14" t="n"/>
      <c r="C4" s="14" t="n"/>
      <c r="D4" s="14" t="n"/>
      <c r="E4" s="15" t="n"/>
    </row>
    <row r="5">
      <c r="A5" s="12" t="inlineStr">
        <is>
          <t>Feature</t>
        </is>
      </c>
      <c r="B5" s="12" t="inlineStr">
        <is>
          <t>ECOA tag</t>
        </is>
      </c>
      <c r="C5" s="12" t="inlineStr">
        <is>
          <t>In this example?</t>
        </is>
      </c>
      <c r="D5" s="12" t="inlineStr">
        <is>
          <t>Why</t>
        </is>
      </c>
      <c r="E5" s="12" t="inlineStr">
        <is>
          <t>Decision</t>
        </is>
      </c>
    </row>
    <row r="6">
      <c r="A6" s="16" t="inlineStr">
        <is>
          <t>Income</t>
        </is>
      </c>
      <c r="B6" s="17" t="inlineStr">
        <is>
          <t>permissible</t>
        </is>
      </c>
      <c r="C6" s="17" t="inlineStr">
        <is>
          <t>used</t>
        </is>
      </c>
      <c r="D6" s="17" t="inlineStr">
        <is>
          <t>ability to pay</t>
        </is>
      </c>
      <c r="E6" s="17" t="inlineStr">
        <is>
          <t>KEEP</t>
        </is>
      </c>
    </row>
    <row r="7">
      <c r="A7" s="16" t="inlineStr">
        <is>
          <t>Debt</t>
        </is>
      </c>
      <c r="B7" s="17" t="inlineStr">
        <is>
          <t>permissible</t>
        </is>
      </c>
      <c r="C7" s="17" t="inlineStr">
        <is>
          <t>used</t>
        </is>
      </c>
      <c r="D7" s="17" t="inlineStr">
        <is>
          <t>existing obligations</t>
        </is>
      </c>
      <c r="E7" s="17" t="inlineStr">
        <is>
          <t>KEEP</t>
        </is>
      </c>
    </row>
    <row r="8">
      <c r="A8" s="16" t="inlineStr">
        <is>
          <t>Emp (years)</t>
        </is>
      </c>
      <c r="B8" s="17" t="inlineStr">
        <is>
          <t>permissible</t>
        </is>
      </c>
      <c r="C8" s="17" t="inlineStr">
        <is>
          <t>used</t>
        </is>
      </c>
      <c r="D8" s="17" t="inlineStr">
        <is>
          <t>stability</t>
        </is>
      </c>
      <c r="E8" s="17" t="inlineStr">
        <is>
          <t>KEEP</t>
        </is>
      </c>
    </row>
    <row r="9">
      <c r="A9" s="16" t="inlineStr">
        <is>
          <t>(Age)</t>
        </is>
      </c>
      <c r="B9" s="18" t="inlineStr">
        <is>
          <t>prohibited</t>
        </is>
      </c>
      <c r="C9" s="17" t="inlineStr">
        <is>
          <t>not in this toy set</t>
        </is>
      </c>
      <c r="D9" s="17" t="inlineStr">
        <is>
          <t>age is a protected basis; permitted only under EDDSS (no negative factor for 62+)</t>
        </is>
      </c>
      <c r="E9" s="17" t="inlineStr">
        <is>
          <t>would REQUIRE G0 sign-off</t>
        </is>
      </c>
    </row>
    <row r="10">
      <c r="A10" s="16" t="inlineStr">
        <is>
          <t>(Shadow)</t>
        </is>
      </c>
      <c r="B10" s="17" t="inlineStr">
        <is>
          <t>n/a (noise)</t>
        </is>
      </c>
      <c r="C10" s="17" t="inlineStr">
        <is>
          <t>added in S4</t>
        </is>
      </c>
      <c r="D10" s="17" t="inlineStr">
        <is>
          <t>random control to test the importance bar</t>
        </is>
      </c>
      <c r="E10" s="17" t="inlineStr">
        <is>
          <t>never deployable</t>
        </is>
      </c>
    </row>
    <row r="12">
      <c r="A12" s="6" t="inlineStr">
        <is>
          <t>Data sufficiency</t>
        </is>
      </c>
      <c r="B12" s="14" t="n"/>
      <c r="C12" s="14" t="n"/>
      <c r="D12" s="14" t="n"/>
      <c r="E12" s="15" t="n"/>
    </row>
    <row r="13">
      <c r="A13" s="6" t="inlineStr">
        <is>
          <t>Applicants (N)</t>
        </is>
      </c>
      <c r="B13" s="19">
        <f>S1_Input!B4</f>
        <v/>
      </c>
    </row>
    <row r="14">
      <c r="A14" s="6" t="inlineStr">
        <is>
          <t>Defaults (events)</t>
        </is>
      </c>
      <c r="B14" s="19">
        <f>S1_Input!B5</f>
        <v/>
      </c>
    </row>
    <row r="15">
      <c r="A15" s="6" t="inlineStr">
        <is>
          <t>Candidate features</t>
        </is>
      </c>
      <c r="B15" s="19">
        <f>S1_Input!B7</f>
        <v/>
      </c>
    </row>
    <row r="16">
      <c r="A16" s="6" t="inlineStr">
        <is>
          <t>EPV = events / features</t>
        </is>
      </c>
      <c r="B16" s="20">
        <f>S1_Input!B8</f>
        <v/>
      </c>
    </row>
    <row r="17">
      <c r="A17" s="6" t="inlineStr">
        <is>
          <t>EPV ≥ 10 rule (Peduzzi 1996)?</t>
        </is>
      </c>
      <c r="B17" s="19">
        <f>IF(S1_Input!B8&gt;=10,"meets","BELOW (small-sample caveat)")</f>
        <v/>
      </c>
    </row>
    <row r="19">
      <c r="A19" s="6" t="inlineStr">
        <is>
          <t>Materiality tier (input)</t>
        </is>
      </c>
      <c r="B19" s="21" t="inlineStr">
        <is>
          <t>MEDIUM</t>
        </is>
      </c>
    </row>
    <row r="20">
      <c r="A20" s="11" t="inlineStr">
        <is>
          <t>Tiers set the acceptance bars: LOW (owner sign) · MEDIUM (benchmark) · HIGH (core: EPV≥10, AUC≥0.80, HL pass).</t>
        </is>
      </c>
    </row>
  </sheetData>
  <mergeCells count="3">
    <mergeCell ref="A20:H20"/>
    <mergeCell ref="A12:E12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s="1" t="inlineStr">
        <is>
          <t>S3 · Stage 1 — binning, Weight-of-Evidence (WOE) &amp; Information Value (IV)</t>
        </is>
      </c>
    </row>
    <row r="2">
      <c r="A2" s="2" t="inlineStr">
        <is>
          <t>For each feature: split into two bins at the yellow cut, count good/bad, and compute how strongly it separates them. Screen keeps IV ≥ 0.02.</t>
        </is>
      </c>
    </row>
    <row r="4">
      <c r="A4" s="6" t="inlineStr">
        <is>
          <t>Total good (non-default)</t>
        </is>
      </c>
      <c r="B4" s="7">
        <f>S1_Input!B4-S1_Input!B5</f>
        <v/>
      </c>
    </row>
    <row r="5">
      <c r="A5" s="6" t="inlineStr">
        <is>
          <t>Total bad (default)</t>
        </is>
      </c>
      <c r="B5" s="7">
        <f>S1_Input!B5</f>
        <v/>
      </c>
    </row>
    <row r="7">
      <c r="A7" s="6" t="inlineStr">
        <is>
          <t>Income (k)  —  cut at:</t>
        </is>
      </c>
      <c r="B7" s="21" t="n">
        <v>35</v>
      </c>
    </row>
    <row r="8">
      <c r="A8" s="12" t="inlineStr">
        <is>
          <t>Bin</t>
        </is>
      </c>
      <c r="B8" s="12" t="inlineStr">
        <is>
          <t>n_good</t>
        </is>
      </c>
      <c r="C8" s="12" t="inlineStr">
        <is>
          <t>n_bad</t>
        </is>
      </c>
      <c r="D8" s="12" t="inlineStr">
        <is>
          <t>%good</t>
        </is>
      </c>
      <c r="E8" s="12" t="inlineStr">
        <is>
          <t>%bad</t>
        </is>
      </c>
      <c r="F8" s="12" t="inlineStr">
        <is>
          <t>WOE</t>
        </is>
      </c>
      <c r="G8" s="12" t="inlineStr">
        <is>
          <t>IV part</t>
        </is>
      </c>
    </row>
    <row r="9">
      <c r="A9" s="17" t="inlineStr">
        <is>
          <t>High (≥ cut)</t>
        </is>
      </c>
      <c r="B9" s="13">
        <f>COUNTIFS(S1_Input!$B$12:$B$35,"&gt;="&amp;$B$7,S1_Input!$E$12:$E$35,0)</f>
        <v/>
      </c>
      <c r="C9" s="13">
        <f>COUNTIFS(S1_Input!$B$12:$B$35,"&gt;="&amp;$B$7,S1_Input!$E$12:$E$35,1)</f>
        <v/>
      </c>
      <c r="D9" s="22">
        <f>B9/$B$4</f>
        <v/>
      </c>
      <c r="E9" s="22">
        <f>C9/$B$5</f>
        <v/>
      </c>
      <c r="F9" s="23">
        <f>LN(D9/E9)</f>
        <v/>
      </c>
      <c r="G9" s="23">
        <f>(D9-E9)*F9</f>
        <v/>
      </c>
    </row>
    <row r="10">
      <c r="A10" s="17" t="inlineStr">
        <is>
          <t>Low (&lt; cut)</t>
        </is>
      </c>
      <c r="B10" s="13">
        <f>COUNTIFS(S1_Input!$B$12:$B$35,"&lt;"&amp;$B$7,S1_Input!$E$12:$E$35,0)</f>
        <v/>
      </c>
      <c r="C10" s="13">
        <f>COUNTIFS(S1_Input!$B$12:$B$35,"&lt;"&amp;$B$7,S1_Input!$E$12:$E$35,1)</f>
        <v/>
      </c>
      <c r="D10" s="22">
        <f>B10/$B$4</f>
        <v/>
      </c>
      <c r="E10" s="22">
        <f>C10/$B$5</f>
        <v/>
      </c>
      <c r="F10" s="23">
        <f>LN(D10/E10)</f>
        <v/>
      </c>
      <c r="G10" s="23">
        <f>(D10-E10)*F10</f>
        <v/>
      </c>
    </row>
    <row r="11">
      <c r="A11" s="6" t="inlineStr">
        <is>
          <t>Total IV</t>
        </is>
      </c>
      <c r="G11" s="24">
        <f>G9+G10</f>
        <v/>
      </c>
      <c r="H11" s="25">
        <f>IF(G11&gt;=0.02,"PASS screen","drop")</f>
        <v/>
      </c>
    </row>
    <row r="13">
      <c r="A13" s="6" t="inlineStr">
        <is>
          <t>Debt (k)  —  cut at:</t>
        </is>
      </c>
      <c r="B13" s="21" t="n">
        <v>15</v>
      </c>
    </row>
    <row r="14">
      <c r="A14" s="12" t="inlineStr">
        <is>
          <t>Bin</t>
        </is>
      </c>
      <c r="B14" s="12" t="inlineStr">
        <is>
          <t>n_good</t>
        </is>
      </c>
      <c r="C14" s="12" t="inlineStr">
        <is>
          <t>n_bad</t>
        </is>
      </c>
      <c r="D14" s="12" t="inlineStr">
        <is>
          <t>%good</t>
        </is>
      </c>
      <c r="E14" s="12" t="inlineStr">
        <is>
          <t>%bad</t>
        </is>
      </c>
      <c r="F14" s="12" t="inlineStr">
        <is>
          <t>WOE</t>
        </is>
      </c>
      <c r="G14" s="12" t="inlineStr">
        <is>
          <t>IV part</t>
        </is>
      </c>
    </row>
    <row r="15">
      <c r="A15" s="17" t="inlineStr">
        <is>
          <t>High (≥ cut)</t>
        </is>
      </c>
      <c r="B15" s="13">
        <f>COUNTIFS(S1_Input!$C$12:$C$35,"&gt;="&amp;$B$13,S1_Input!$E$12:$E$35,0)</f>
        <v/>
      </c>
      <c r="C15" s="13">
        <f>COUNTIFS(S1_Input!$C$12:$C$35,"&gt;="&amp;$B$13,S1_Input!$E$12:$E$35,1)</f>
        <v/>
      </c>
      <c r="D15" s="22">
        <f>B15/$B$4</f>
        <v/>
      </c>
      <c r="E15" s="22">
        <f>C15/$B$5</f>
        <v/>
      </c>
      <c r="F15" s="23">
        <f>LN(D15/E15)</f>
        <v/>
      </c>
      <c r="G15" s="23">
        <f>(D15-E15)*F15</f>
        <v/>
      </c>
    </row>
    <row r="16">
      <c r="A16" s="17" t="inlineStr">
        <is>
          <t>Low (&lt; cut)</t>
        </is>
      </c>
      <c r="B16" s="13">
        <f>COUNTIFS(S1_Input!$C$12:$C$35,"&lt;"&amp;$B$13,S1_Input!$E$12:$E$35,0)</f>
        <v/>
      </c>
      <c r="C16" s="13">
        <f>COUNTIFS(S1_Input!$C$12:$C$35,"&lt;"&amp;$B$13,S1_Input!$E$12:$E$35,1)</f>
        <v/>
      </c>
      <c r="D16" s="22">
        <f>B16/$B$4</f>
        <v/>
      </c>
      <c r="E16" s="22">
        <f>C16/$B$5</f>
        <v/>
      </c>
      <c r="F16" s="23">
        <f>LN(D16/E16)</f>
        <v/>
      </c>
      <c r="G16" s="23">
        <f>(D16-E16)*F16</f>
        <v/>
      </c>
    </row>
    <row r="17">
      <c r="A17" s="6" t="inlineStr">
        <is>
          <t>Total IV</t>
        </is>
      </c>
      <c r="G17" s="24">
        <f>G15+G16</f>
        <v/>
      </c>
      <c r="H17" s="25">
        <f>IF(G17&gt;=0.02,"PASS screen","drop")</f>
        <v/>
      </c>
    </row>
    <row r="19">
      <c r="A19" s="6" t="inlineStr">
        <is>
          <t>Emp (years)  —  cut at:</t>
        </is>
      </c>
      <c r="B19" s="21" t="n">
        <v>3</v>
      </c>
    </row>
    <row r="20">
      <c r="A20" s="12" t="inlineStr">
        <is>
          <t>Bin</t>
        </is>
      </c>
      <c r="B20" s="12" t="inlineStr">
        <is>
          <t>n_good</t>
        </is>
      </c>
      <c r="C20" s="12" t="inlineStr">
        <is>
          <t>n_bad</t>
        </is>
      </c>
      <c r="D20" s="12" t="inlineStr">
        <is>
          <t>%good</t>
        </is>
      </c>
      <c r="E20" s="12" t="inlineStr">
        <is>
          <t>%bad</t>
        </is>
      </c>
      <c r="F20" s="12" t="inlineStr">
        <is>
          <t>WOE</t>
        </is>
      </c>
      <c r="G20" s="12" t="inlineStr">
        <is>
          <t>IV part</t>
        </is>
      </c>
    </row>
    <row r="21">
      <c r="A21" s="17" t="inlineStr">
        <is>
          <t>High (≥ cut)</t>
        </is>
      </c>
      <c r="B21" s="13">
        <f>COUNTIFS(S1_Input!$D$12:$D$35,"&gt;="&amp;$B$19,S1_Input!$E$12:$E$35,0)</f>
        <v/>
      </c>
      <c r="C21" s="13">
        <f>COUNTIFS(S1_Input!$D$12:$D$35,"&gt;="&amp;$B$19,S1_Input!$E$12:$E$35,1)</f>
        <v/>
      </c>
      <c r="D21" s="22">
        <f>B21/$B$4</f>
        <v/>
      </c>
      <c r="E21" s="22">
        <f>C21/$B$5</f>
        <v/>
      </c>
      <c r="F21" s="23">
        <f>LN(D21/E21)</f>
        <v/>
      </c>
      <c r="G21" s="23">
        <f>(D21-E21)*F21</f>
        <v/>
      </c>
    </row>
    <row r="22">
      <c r="A22" s="17" t="inlineStr">
        <is>
          <t>Low (&lt; cut)</t>
        </is>
      </c>
      <c r="B22" s="13">
        <f>COUNTIFS(S1_Input!$D$12:$D$35,"&lt;"&amp;$B$19,S1_Input!$E$12:$E$35,0)</f>
        <v/>
      </c>
      <c r="C22" s="13">
        <f>COUNTIFS(S1_Input!$D$12:$D$35,"&lt;"&amp;$B$19,S1_Input!$E$12:$E$35,1)</f>
        <v/>
      </c>
      <c r="D22" s="22">
        <f>B22/$B$4</f>
        <v/>
      </c>
      <c r="E22" s="22">
        <f>C22/$B$5</f>
        <v/>
      </c>
      <c r="F22" s="23">
        <f>LN(D22/E22)</f>
        <v/>
      </c>
      <c r="G22" s="23">
        <f>(D22-E22)*F22</f>
        <v/>
      </c>
    </row>
    <row r="23">
      <c r="A23" s="6" t="inlineStr">
        <is>
          <t>Total IV</t>
        </is>
      </c>
      <c r="G23" s="24">
        <f>G21+G22</f>
        <v/>
      </c>
      <c r="H23" s="25">
        <f>IF(G23&gt;=0.02,"PASS screen","drop")</f>
        <v/>
      </c>
    </row>
    <row r="25">
      <c r="A25" s="11" t="inlineStr">
        <is>
          <t>WOE = ln(%good / %bad): positive = safer-than-average, negative = riskier.  IV bands: &lt;0.02 useless · 0.02–0.1 weak · 0.1–0.3 medium · &gt;0.3 strong.</t>
        </is>
      </c>
    </row>
  </sheetData>
  <mergeCells count="1">
    <mergeCell ref="A25:H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8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</cols>
  <sheetData>
    <row r="1">
      <c r="A1" s="1" t="inlineStr">
        <is>
          <t>S4 · WOE-encoded applicants (+ shadow/noise feature)</t>
        </is>
      </c>
    </row>
    <row r="2">
      <c r="A2" s="2" t="inlineStr">
        <is>
          <t>Each applicant's raw values are translated into WOE points by looking up the bin they fall in. The shadow column is a scrambled copy of Income — pure noise.</t>
        </is>
      </c>
    </row>
    <row r="4">
      <c r="A4" s="12" t="inlineStr">
        <is>
          <t>ID</t>
        </is>
      </c>
      <c r="B4" s="12" t="inlineStr">
        <is>
          <t>Income</t>
        </is>
      </c>
      <c r="C4" s="12" t="inlineStr">
        <is>
          <t>Debt</t>
        </is>
      </c>
      <c r="D4" s="12" t="inlineStr">
        <is>
          <t>Emp</t>
        </is>
      </c>
      <c r="E4" s="12" t="inlineStr">
        <is>
          <t>Default</t>
        </is>
      </c>
      <c r="F4" s="12" t="inlineStr">
        <is>
          <t>Income_WOE</t>
        </is>
      </c>
      <c r="G4" s="12" t="inlineStr">
        <is>
          <t>Debt_WOE</t>
        </is>
      </c>
      <c r="H4" s="12" t="inlineStr">
        <is>
          <t>Emp_WOE</t>
        </is>
      </c>
      <c r="I4" s="12" t="inlineStr">
        <is>
          <t>shadow_src</t>
        </is>
      </c>
      <c r="J4" s="12" t="inlineStr">
        <is>
          <t>Shadow_WOE</t>
        </is>
      </c>
      <c r="K4" s="12" t="inlineStr">
        <is>
          <t>Full_score</t>
        </is>
      </c>
    </row>
    <row r="5">
      <c r="A5" s="13">
        <f>S1_Input!A12</f>
        <v/>
      </c>
      <c r="B5" s="13">
        <f>S1_Input!B12</f>
        <v/>
      </c>
      <c r="C5" s="13">
        <f>S1_Input!C12</f>
        <v/>
      </c>
      <c r="D5" s="13">
        <f>S1_Input!D12</f>
        <v/>
      </c>
      <c r="E5" s="13">
        <f>S1_Input!E12</f>
        <v/>
      </c>
      <c r="F5" s="23">
        <f>IF(B5&gt;=S3_WOE_IV!$B$7,S3_WOE_IV!$F$9,S3_WOE_IV!$F$10)</f>
        <v/>
      </c>
      <c r="G5" s="23">
        <f>IF(C5&gt;=S3_WOE_IV!$B$13,S3_WOE_IV!$F$15,S3_WOE_IV!$F$16)</f>
        <v/>
      </c>
      <c r="H5" s="23">
        <f>IF(D5&gt;=S3_WOE_IV!$B$19,S3_WOE_IV!$F$21,S3_WOE_IV!$F$22)</f>
        <v/>
      </c>
      <c r="I5" s="9" t="n">
        <v>6</v>
      </c>
      <c r="J5" s="23">
        <f>INDEX($F$5:$F$28,I5)</f>
        <v/>
      </c>
      <c r="K5" s="26">
        <f>F5+G5+H5</f>
        <v/>
      </c>
    </row>
    <row r="6">
      <c r="A6" s="13">
        <f>S1_Input!A13</f>
        <v/>
      </c>
      <c r="B6" s="13">
        <f>S1_Input!B13</f>
        <v/>
      </c>
      <c r="C6" s="13">
        <f>S1_Input!C13</f>
        <v/>
      </c>
      <c r="D6" s="13">
        <f>S1_Input!D13</f>
        <v/>
      </c>
      <c r="E6" s="13">
        <f>S1_Input!E13</f>
        <v/>
      </c>
      <c r="F6" s="23">
        <f>IF(B6&gt;=S3_WOE_IV!$B$7,S3_WOE_IV!$F$9,S3_WOE_IV!$F$10)</f>
        <v/>
      </c>
      <c r="G6" s="23">
        <f>IF(C6&gt;=S3_WOE_IV!$B$13,S3_WOE_IV!$F$15,S3_WOE_IV!$F$16)</f>
        <v/>
      </c>
      <c r="H6" s="23">
        <f>IF(D6&gt;=S3_WOE_IV!$B$19,S3_WOE_IV!$F$21,S3_WOE_IV!$F$22)</f>
        <v/>
      </c>
      <c r="I6" s="9" t="n">
        <v>13</v>
      </c>
      <c r="J6" s="23">
        <f>INDEX($F$5:$F$28,I6)</f>
        <v/>
      </c>
      <c r="K6" s="26">
        <f>F6+G6+H6</f>
        <v/>
      </c>
    </row>
    <row r="7">
      <c r="A7" s="13">
        <f>S1_Input!A14</f>
        <v/>
      </c>
      <c r="B7" s="13">
        <f>S1_Input!B14</f>
        <v/>
      </c>
      <c r="C7" s="13">
        <f>S1_Input!C14</f>
        <v/>
      </c>
      <c r="D7" s="13">
        <f>S1_Input!D14</f>
        <v/>
      </c>
      <c r="E7" s="13">
        <f>S1_Input!E14</f>
        <v/>
      </c>
      <c r="F7" s="23">
        <f>IF(B7&gt;=S3_WOE_IV!$B$7,S3_WOE_IV!$F$9,S3_WOE_IV!$F$10)</f>
        <v/>
      </c>
      <c r="G7" s="23">
        <f>IF(C7&gt;=S3_WOE_IV!$B$13,S3_WOE_IV!$F$15,S3_WOE_IV!$F$16)</f>
        <v/>
      </c>
      <c r="H7" s="23">
        <f>IF(D7&gt;=S3_WOE_IV!$B$19,S3_WOE_IV!$F$21,S3_WOE_IV!$F$22)</f>
        <v/>
      </c>
      <c r="I7" s="9" t="n">
        <v>20</v>
      </c>
      <c r="J7" s="23">
        <f>INDEX($F$5:$F$28,I7)</f>
        <v/>
      </c>
      <c r="K7" s="26">
        <f>F7+G7+H7</f>
        <v/>
      </c>
    </row>
    <row r="8">
      <c r="A8" s="13">
        <f>S1_Input!A15</f>
        <v/>
      </c>
      <c r="B8" s="13">
        <f>S1_Input!B15</f>
        <v/>
      </c>
      <c r="C8" s="13">
        <f>S1_Input!C15</f>
        <v/>
      </c>
      <c r="D8" s="13">
        <f>S1_Input!D15</f>
        <v/>
      </c>
      <c r="E8" s="13">
        <f>S1_Input!E15</f>
        <v/>
      </c>
      <c r="F8" s="23">
        <f>IF(B8&gt;=S3_WOE_IV!$B$7,S3_WOE_IV!$F$9,S3_WOE_IV!$F$10)</f>
        <v/>
      </c>
      <c r="G8" s="23">
        <f>IF(C8&gt;=S3_WOE_IV!$B$13,S3_WOE_IV!$F$15,S3_WOE_IV!$F$16)</f>
        <v/>
      </c>
      <c r="H8" s="23">
        <f>IF(D8&gt;=S3_WOE_IV!$B$19,S3_WOE_IV!$F$21,S3_WOE_IV!$F$22)</f>
        <v/>
      </c>
      <c r="I8" s="9" t="n">
        <v>3</v>
      </c>
      <c r="J8" s="23">
        <f>INDEX($F$5:$F$28,I8)</f>
        <v/>
      </c>
      <c r="K8" s="26">
        <f>F8+G8+H8</f>
        <v/>
      </c>
    </row>
    <row r="9">
      <c r="A9" s="13">
        <f>S1_Input!A16</f>
        <v/>
      </c>
      <c r="B9" s="13">
        <f>S1_Input!B16</f>
        <v/>
      </c>
      <c r="C9" s="13">
        <f>S1_Input!C16</f>
        <v/>
      </c>
      <c r="D9" s="13">
        <f>S1_Input!D16</f>
        <v/>
      </c>
      <c r="E9" s="13">
        <f>S1_Input!E16</f>
        <v/>
      </c>
      <c r="F9" s="23">
        <f>IF(B9&gt;=S3_WOE_IV!$B$7,S3_WOE_IV!$F$9,S3_WOE_IV!$F$10)</f>
        <v/>
      </c>
      <c r="G9" s="23">
        <f>IF(C9&gt;=S3_WOE_IV!$B$13,S3_WOE_IV!$F$15,S3_WOE_IV!$F$16)</f>
        <v/>
      </c>
      <c r="H9" s="23">
        <f>IF(D9&gt;=S3_WOE_IV!$B$19,S3_WOE_IV!$F$21,S3_WOE_IV!$F$22)</f>
        <v/>
      </c>
      <c r="I9" s="9" t="n">
        <v>10</v>
      </c>
      <c r="J9" s="23">
        <f>INDEX($F$5:$F$28,I9)</f>
        <v/>
      </c>
      <c r="K9" s="26">
        <f>F9+G9+H9</f>
        <v/>
      </c>
    </row>
    <row r="10">
      <c r="A10" s="13">
        <f>S1_Input!A17</f>
        <v/>
      </c>
      <c r="B10" s="13">
        <f>S1_Input!B17</f>
        <v/>
      </c>
      <c r="C10" s="13">
        <f>S1_Input!C17</f>
        <v/>
      </c>
      <c r="D10" s="13">
        <f>S1_Input!D17</f>
        <v/>
      </c>
      <c r="E10" s="13">
        <f>S1_Input!E17</f>
        <v/>
      </c>
      <c r="F10" s="23">
        <f>IF(B10&gt;=S3_WOE_IV!$B$7,S3_WOE_IV!$F$9,S3_WOE_IV!$F$10)</f>
        <v/>
      </c>
      <c r="G10" s="23">
        <f>IF(C10&gt;=S3_WOE_IV!$B$13,S3_WOE_IV!$F$15,S3_WOE_IV!$F$16)</f>
        <v/>
      </c>
      <c r="H10" s="23">
        <f>IF(D10&gt;=S3_WOE_IV!$B$19,S3_WOE_IV!$F$21,S3_WOE_IV!$F$22)</f>
        <v/>
      </c>
      <c r="I10" s="9" t="n">
        <v>17</v>
      </c>
      <c r="J10" s="23">
        <f>INDEX($F$5:$F$28,I10)</f>
        <v/>
      </c>
      <c r="K10" s="26">
        <f>F10+G10+H10</f>
        <v/>
      </c>
    </row>
    <row r="11">
      <c r="A11" s="13">
        <f>S1_Input!A18</f>
        <v/>
      </c>
      <c r="B11" s="13">
        <f>S1_Input!B18</f>
        <v/>
      </c>
      <c r="C11" s="13">
        <f>S1_Input!C18</f>
        <v/>
      </c>
      <c r="D11" s="13">
        <f>S1_Input!D18</f>
        <v/>
      </c>
      <c r="E11" s="13">
        <f>S1_Input!E18</f>
        <v/>
      </c>
      <c r="F11" s="23">
        <f>IF(B11&gt;=S3_WOE_IV!$B$7,S3_WOE_IV!$F$9,S3_WOE_IV!$F$10)</f>
        <v/>
      </c>
      <c r="G11" s="23">
        <f>IF(C11&gt;=S3_WOE_IV!$B$13,S3_WOE_IV!$F$15,S3_WOE_IV!$F$16)</f>
        <v/>
      </c>
      <c r="H11" s="23">
        <f>IF(D11&gt;=S3_WOE_IV!$B$19,S3_WOE_IV!$F$21,S3_WOE_IV!$F$22)</f>
        <v/>
      </c>
      <c r="I11" s="9" t="n">
        <v>24</v>
      </c>
      <c r="J11" s="23">
        <f>INDEX($F$5:$F$28,I11)</f>
        <v/>
      </c>
      <c r="K11" s="26">
        <f>F11+G11+H11</f>
        <v/>
      </c>
    </row>
    <row r="12">
      <c r="A12" s="13">
        <f>S1_Input!A19</f>
        <v/>
      </c>
      <c r="B12" s="13">
        <f>S1_Input!B19</f>
        <v/>
      </c>
      <c r="C12" s="13">
        <f>S1_Input!C19</f>
        <v/>
      </c>
      <c r="D12" s="13">
        <f>S1_Input!D19</f>
        <v/>
      </c>
      <c r="E12" s="13">
        <f>S1_Input!E19</f>
        <v/>
      </c>
      <c r="F12" s="23">
        <f>IF(B12&gt;=S3_WOE_IV!$B$7,S3_WOE_IV!$F$9,S3_WOE_IV!$F$10)</f>
        <v/>
      </c>
      <c r="G12" s="23">
        <f>IF(C12&gt;=S3_WOE_IV!$B$13,S3_WOE_IV!$F$15,S3_WOE_IV!$F$16)</f>
        <v/>
      </c>
      <c r="H12" s="23">
        <f>IF(D12&gt;=S3_WOE_IV!$B$19,S3_WOE_IV!$F$21,S3_WOE_IV!$F$22)</f>
        <v/>
      </c>
      <c r="I12" s="9" t="n">
        <v>7</v>
      </c>
      <c r="J12" s="23">
        <f>INDEX($F$5:$F$28,I12)</f>
        <v/>
      </c>
      <c r="K12" s="26">
        <f>F12+G12+H12</f>
        <v/>
      </c>
    </row>
    <row r="13">
      <c r="A13" s="13">
        <f>S1_Input!A20</f>
        <v/>
      </c>
      <c r="B13" s="13">
        <f>S1_Input!B20</f>
        <v/>
      </c>
      <c r="C13" s="13">
        <f>S1_Input!C20</f>
        <v/>
      </c>
      <c r="D13" s="13">
        <f>S1_Input!D20</f>
        <v/>
      </c>
      <c r="E13" s="13">
        <f>S1_Input!E20</f>
        <v/>
      </c>
      <c r="F13" s="23">
        <f>IF(B13&gt;=S3_WOE_IV!$B$7,S3_WOE_IV!$F$9,S3_WOE_IV!$F$10)</f>
        <v/>
      </c>
      <c r="G13" s="23">
        <f>IF(C13&gt;=S3_WOE_IV!$B$13,S3_WOE_IV!$F$15,S3_WOE_IV!$F$16)</f>
        <v/>
      </c>
      <c r="H13" s="23">
        <f>IF(D13&gt;=S3_WOE_IV!$B$19,S3_WOE_IV!$F$21,S3_WOE_IV!$F$22)</f>
        <v/>
      </c>
      <c r="I13" s="9" t="n">
        <v>14</v>
      </c>
      <c r="J13" s="23">
        <f>INDEX($F$5:$F$28,I13)</f>
        <v/>
      </c>
      <c r="K13" s="26">
        <f>F13+G13+H13</f>
        <v/>
      </c>
    </row>
    <row r="14">
      <c r="A14" s="13">
        <f>S1_Input!A21</f>
        <v/>
      </c>
      <c r="B14" s="13">
        <f>S1_Input!B21</f>
        <v/>
      </c>
      <c r="C14" s="13">
        <f>S1_Input!C21</f>
        <v/>
      </c>
      <c r="D14" s="13">
        <f>S1_Input!D21</f>
        <v/>
      </c>
      <c r="E14" s="13">
        <f>S1_Input!E21</f>
        <v/>
      </c>
      <c r="F14" s="23">
        <f>IF(B14&gt;=S3_WOE_IV!$B$7,S3_WOE_IV!$F$9,S3_WOE_IV!$F$10)</f>
        <v/>
      </c>
      <c r="G14" s="23">
        <f>IF(C14&gt;=S3_WOE_IV!$B$13,S3_WOE_IV!$F$15,S3_WOE_IV!$F$16)</f>
        <v/>
      </c>
      <c r="H14" s="23">
        <f>IF(D14&gt;=S3_WOE_IV!$B$19,S3_WOE_IV!$F$21,S3_WOE_IV!$F$22)</f>
        <v/>
      </c>
      <c r="I14" s="9" t="n">
        <v>21</v>
      </c>
      <c r="J14" s="23">
        <f>INDEX($F$5:$F$28,I14)</f>
        <v/>
      </c>
      <c r="K14" s="26">
        <f>F14+G14+H14</f>
        <v/>
      </c>
    </row>
    <row r="15">
      <c r="A15" s="13">
        <f>S1_Input!A22</f>
        <v/>
      </c>
      <c r="B15" s="13">
        <f>S1_Input!B22</f>
        <v/>
      </c>
      <c r="C15" s="13">
        <f>S1_Input!C22</f>
        <v/>
      </c>
      <c r="D15" s="13">
        <f>S1_Input!D22</f>
        <v/>
      </c>
      <c r="E15" s="13">
        <f>S1_Input!E22</f>
        <v/>
      </c>
      <c r="F15" s="23">
        <f>IF(B15&gt;=S3_WOE_IV!$B$7,S3_WOE_IV!$F$9,S3_WOE_IV!$F$10)</f>
        <v/>
      </c>
      <c r="G15" s="23">
        <f>IF(C15&gt;=S3_WOE_IV!$B$13,S3_WOE_IV!$F$15,S3_WOE_IV!$F$16)</f>
        <v/>
      </c>
      <c r="H15" s="23">
        <f>IF(D15&gt;=S3_WOE_IV!$B$19,S3_WOE_IV!$F$21,S3_WOE_IV!$F$22)</f>
        <v/>
      </c>
      <c r="I15" s="9" t="n">
        <v>4</v>
      </c>
      <c r="J15" s="23">
        <f>INDEX($F$5:$F$28,I15)</f>
        <v/>
      </c>
      <c r="K15" s="26">
        <f>F15+G15+H15</f>
        <v/>
      </c>
    </row>
    <row r="16">
      <c r="A16" s="13">
        <f>S1_Input!A23</f>
        <v/>
      </c>
      <c r="B16" s="13">
        <f>S1_Input!B23</f>
        <v/>
      </c>
      <c r="C16" s="13">
        <f>S1_Input!C23</f>
        <v/>
      </c>
      <c r="D16" s="13">
        <f>S1_Input!D23</f>
        <v/>
      </c>
      <c r="E16" s="13">
        <f>S1_Input!E23</f>
        <v/>
      </c>
      <c r="F16" s="23">
        <f>IF(B16&gt;=S3_WOE_IV!$B$7,S3_WOE_IV!$F$9,S3_WOE_IV!$F$10)</f>
        <v/>
      </c>
      <c r="G16" s="23">
        <f>IF(C16&gt;=S3_WOE_IV!$B$13,S3_WOE_IV!$F$15,S3_WOE_IV!$F$16)</f>
        <v/>
      </c>
      <c r="H16" s="23">
        <f>IF(D16&gt;=S3_WOE_IV!$B$19,S3_WOE_IV!$F$21,S3_WOE_IV!$F$22)</f>
        <v/>
      </c>
      <c r="I16" s="9" t="n">
        <v>11</v>
      </c>
      <c r="J16" s="23">
        <f>INDEX($F$5:$F$28,I16)</f>
        <v/>
      </c>
      <c r="K16" s="26">
        <f>F16+G16+H16</f>
        <v/>
      </c>
    </row>
    <row r="17">
      <c r="A17" s="13">
        <f>S1_Input!A24</f>
        <v/>
      </c>
      <c r="B17" s="13">
        <f>S1_Input!B24</f>
        <v/>
      </c>
      <c r="C17" s="13">
        <f>S1_Input!C24</f>
        <v/>
      </c>
      <c r="D17" s="13">
        <f>S1_Input!D24</f>
        <v/>
      </c>
      <c r="E17" s="13">
        <f>S1_Input!E24</f>
        <v/>
      </c>
      <c r="F17" s="23">
        <f>IF(B17&gt;=S3_WOE_IV!$B$7,S3_WOE_IV!$F$9,S3_WOE_IV!$F$10)</f>
        <v/>
      </c>
      <c r="G17" s="23">
        <f>IF(C17&gt;=S3_WOE_IV!$B$13,S3_WOE_IV!$F$15,S3_WOE_IV!$F$16)</f>
        <v/>
      </c>
      <c r="H17" s="23">
        <f>IF(D17&gt;=S3_WOE_IV!$B$19,S3_WOE_IV!$F$21,S3_WOE_IV!$F$22)</f>
        <v/>
      </c>
      <c r="I17" s="9" t="n">
        <v>18</v>
      </c>
      <c r="J17" s="23">
        <f>INDEX($F$5:$F$28,I17)</f>
        <v/>
      </c>
      <c r="K17" s="26">
        <f>F17+G17+H17</f>
        <v/>
      </c>
    </row>
    <row r="18">
      <c r="A18" s="13">
        <f>S1_Input!A25</f>
        <v/>
      </c>
      <c r="B18" s="13">
        <f>S1_Input!B25</f>
        <v/>
      </c>
      <c r="C18" s="13">
        <f>S1_Input!C25</f>
        <v/>
      </c>
      <c r="D18" s="13">
        <f>S1_Input!D25</f>
        <v/>
      </c>
      <c r="E18" s="13">
        <f>S1_Input!E25</f>
        <v/>
      </c>
      <c r="F18" s="23">
        <f>IF(B18&gt;=S3_WOE_IV!$B$7,S3_WOE_IV!$F$9,S3_WOE_IV!$F$10)</f>
        <v/>
      </c>
      <c r="G18" s="23">
        <f>IF(C18&gt;=S3_WOE_IV!$B$13,S3_WOE_IV!$F$15,S3_WOE_IV!$F$16)</f>
        <v/>
      </c>
      <c r="H18" s="23">
        <f>IF(D18&gt;=S3_WOE_IV!$B$19,S3_WOE_IV!$F$21,S3_WOE_IV!$F$22)</f>
        <v/>
      </c>
      <c r="I18" s="9" t="n">
        <v>1</v>
      </c>
      <c r="J18" s="23">
        <f>INDEX($F$5:$F$28,I18)</f>
        <v/>
      </c>
      <c r="K18" s="26">
        <f>F18+G18+H18</f>
        <v/>
      </c>
    </row>
    <row r="19">
      <c r="A19" s="13">
        <f>S1_Input!A26</f>
        <v/>
      </c>
      <c r="B19" s="13">
        <f>S1_Input!B26</f>
        <v/>
      </c>
      <c r="C19" s="13">
        <f>S1_Input!C26</f>
        <v/>
      </c>
      <c r="D19" s="13">
        <f>S1_Input!D26</f>
        <v/>
      </c>
      <c r="E19" s="13">
        <f>S1_Input!E26</f>
        <v/>
      </c>
      <c r="F19" s="23">
        <f>IF(B19&gt;=S3_WOE_IV!$B$7,S3_WOE_IV!$F$9,S3_WOE_IV!$F$10)</f>
        <v/>
      </c>
      <c r="G19" s="23">
        <f>IF(C19&gt;=S3_WOE_IV!$B$13,S3_WOE_IV!$F$15,S3_WOE_IV!$F$16)</f>
        <v/>
      </c>
      <c r="H19" s="23">
        <f>IF(D19&gt;=S3_WOE_IV!$B$19,S3_WOE_IV!$F$21,S3_WOE_IV!$F$22)</f>
        <v/>
      </c>
      <c r="I19" s="9" t="n">
        <v>8</v>
      </c>
      <c r="J19" s="23">
        <f>INDEX($F$5:$F$28,I19)</f>
        <v/>
      </c>
      <c r="K19" s="26">
        <f>F19+G19+H19</f>
        <v/>
      </c>
    </row>
    <row r="20">
      <c r="A20" s="13">
        <f>S1_Input!A27</f>
        <v/>
      </c>
      <c r="B20" s="13">
        <f>S1_Input!B27</f>
        <v/>
      </c>
      <c r="C20" s="13">
        <f>S1_Input!C27</f>
        <v/>
      </c>
      <c r="D20" s="13">
        <f>S1_Input!D27</f>
        <v/>
      </c>
      <c r="E20" s="13">
        <f>S1_Input!E27</f>
        <v/>
      </c>
      <c r="F20" s="23">
        <f>IF(B20&gt;=S3_WOE_IV!$B$7,S3_WOE_IV!$F$9,S3_WOE_IV!$F$10)</f>
        <v/>
      </c>
      <c r="G20" s="23">
        <f>IF(C20&gt;=S3_WOE_IV!$B$13,S3_WOE_IV!$F$15,S3_WOE_IV!$F$16)</f>
        <v/>
      </c>
      <c r="H20" s="23">
        <f>IF(D20&gt;=S3_WOE_IV!$B$19,S3_WOE_IV!$F$21,S3_WOE_IV!$F$22)</f>
        <v/>
      </c>
      <c r="I20" s="9" t="n">
        <v>15</v>
      </c>
      <c r="J20" s="23">
        <f>INDEX($F$5:$F$28,I20)</f>
        <v/>
      </c>
      <c r="K20" s="26">
        <f>F20+G20+H20</f>
        <v/>
      </c>
    </row>
    <row r="21">
      <c r="A21" s="13">
        <f>S1_Input!A28</f>
        <v/>
      </c>
      <c r="B21" s="13">
        <f>S1_Input!B28</f>
        <v/>
      </c>
      <c r="C21" s="13">
        <f>S1_Input!C28</f>
        <v/>
      </c>
      <c r="D21" s="13">
        <f>S1_Input!D28</f>
        <v/>
      </c>
      <c r="E21" s="13">
        <f>S1_Input!E28</f>
        <v/>
      </c>
      <c r="F21" s="23">
        <f>IF(B21&gt;=S3_WOE_IV!$B$7,S3_WOE_IV!$F$9,S3_WOE_IV!$F$10)</f>
        <v/>
      </c>
      <c r="G21" s="23">
        <f>IF(C21&gt;=S3_WOE_IV!$B$13,S3_WOE_IV!$F$15,S3_WOE_IV!$F$16)</f>
        <v/>
      </c>
      <c r="H21" s="23">
        <f>IF(D21&gt;=S3_WOE_IV!$B$19,S3_WOE_IV!$F$21,S3_WOE_IV!$F$22)</f>
        <v/>
      </c>
      <c r="I21" s="9" t="n">
        <v>22</v>
      </c>
      <c r="J21" s="23">
        <f>INDEX($F$5:$F$28,I21)</f>
        <v/>
      </c>
      <c r="K21" s="26">
        <f>F21+G21+H21</f>
        <v/>
      </c>
    </row>
    <row r="22">
      <c r="A22" s="13">
        <f>S1_Input!A29</f>
        <v/>
      </c>
      <c r="B22" s="13">
        <f>S1_Input!B29</f>
        <v/>
      </c>
      <c r="C22" s="13">
        <f>S1_Input!C29</f>
        <v/>
      </c>
      <c r="D22" s="13">
        <f>S1_Input!D29</f>
        <v/>
      </c>
      <c r="E22" s="13">
        <f>S1_Input!E29</f>
        <v/>
      </c>
      <c r="F22" s="23">
        <f>IF(B22&gt;=S3_WOE_IV!$B$7,S3_WOE_IV!$F$9,S3_WOE_IV!$F$10)</f>
        <v/>
      </c>
      <c r="G22" s="23">
        <f>IF(C22&gt;=S3_WOE_IV!$B$13,S3_WOE_IV!$F$15,S3_WOE_IV!$F$16)</f>
        <v/>
      </c>
      <c r="H22" s="23">
        <f>IF(D22&gt;=S3_WOE_IV!$B$19,S3_WOE_IV!$F$21,S3_WOE_IV!$F$22)</f>
        <v/>
      </c>
      <c r="I22" s="9" t="n">
        <v>5</v>
      </c>
      <c r="J22" s="23">
        <f>INDEX($F$5:$F$28,I22)</f>
        <v/>
      </c>
      <c r="K22" s="26">
        <f>F22+G22+H22</f>
        <v/>
      </c>
    </row>
    <row r="23">
      <c r="A23" s="13">
        <f>S1_Input!A30</f>
        <v/>
      </c>
      <c r="B23" s="13">
        <f>S1_Input!B30</f>
        <v/>
      </c>
      <c r="C23" s="13">
        <f>S1_Input!C30</f>
        <v/>
      </c>
      <c r="D23" s="13">
        <f>S1_Input!D30</f>
        <v/>
      </c>
      <c r="E23" s="13">
        <f>S1_Input!E30</f>
        <v/>
      </c>
      <c r="F23" s="23">
        <f>IF(B23&gt;=S3_WOE_IV!$B$7,S3_WOE_IV!$F$9,S3_WOE_IV!$F$10)</f>
        <v/>
      </c>
      <c r="G23" s="23">
        <f>IF(C23&gt;=S3_WOE_IV!$B$13,S3_WOE_IV!$F$15,S3_WOE_IV!$F$16)</f>
        <v/>
      </c>
      <c r="H23" s="23">
        <f>IF(D23&gt;=S3_WOE_IV!$B$19,S3_WOE_IV!$F$21,S3_WOE_IV!$F$22)</f>
        <v/>
      </c>
      <c r="I23" s="9" t="n">
        <v>12</v>
      </c>
      <c r="J23" s="23">
        <f>INDEX($F$5:$F$28,I23)</f>
        <v/>
      </c>
      <c r="K23" s="26">
        <f>F23+G23+H23</f>
        <v/>
      </c>
    </row>
    <row r="24">
      <c r="A24" s="13">
        <f>S1_Input!A31</f>
        <v/>
      </c>
      <c r="B24" s="13">
        <f>S1_Input!B31</f>
        <v/>
      </c>
      <c r="C24" s="13">
        <f>S1_Input!C31</f>
        <v/>
      </c>
      <c r="D24" s="13">
        <f>S1_Input!D31</f>
        <v/>
      </c>
      <c r="E24" s="13">
        <f>S1_Input!E31</f>
        <v/>
      </c>
      <c r="F24" s="23">
        <f>IF(B24&gt;=S3_WOE_IV!$B$7,S3_WOE_IV!$F$9,S3_WOE_IV!$F$10)</f>
        <v/>
      </c>
      <c r="G24" s="23">
        <f>IF(C24&gt;=S3_WOE_IV!$B$13,S3_WOE_IV!$F$15,S3_WOE_IV!$F$16)</f>
        <v/>
      </c>
      <c r="H24" s="23">
        <f>IF(D24&gt;=S3_WOE_IV!$B$19,S3_WOE_IV!$F$21,S3_WOE_IV!$F$22)</f>
        <v/>
      </c>
      <c r="I24" s="9" t="n">
        <v>19</v>
      </c>
      <c r="J24" s="23">
        <f>INDEX($F$5:$F$28,I24)</f>
        <v/>
      </c>
      <c r="K24" s="26">
        <f>F24+G24+H24</f>
        <v/>
      </c>
    </row>
    <row r="25">
      <c r="A25" s="13">
        <f>S1_Input!A32</f>
        <v/>
      </c>
      <c r="B25" s="13">
        <f>S1_Input!B32</f>
        <v/>
      </c>
      <c r="C25" s="13">
        <f>S1_Input!C32</f>
        <v/>
      </c>
      <c r="D25" s="13">
        <f>S1_Input!D32</f>
        <v/>
      </c>
      <c r="E25" s="13">
        <f>S1_Input!E32</f>
        <v/>
      </c>
      <c r="F25" s="23">
        <f>IF(B25&gt;=S3_WOE_IV!$B$7,S3_WOE_IV!$F$9,S3_WOE_IV!$F$10)</f>
        <v/>
      </c>
      <c r="G25" s="23">
        <f>IF(C25&gt;=S3_WOE_IV!$B$13,S3_WOE_IV!$F$15,S3_WOE_IV!$F$16)</f>
        <v/>
      </c>
      <c r="H25" s="23">
        <f>IF(D25&gt;=S3_WOE_IV!$B$19,S3_WOE_IV!$F$21,S3_WOE_IV!$F$22)</f>
        <v/>
      </c>
      <c r="I25" s="9" t="n">
        <v>2</v>
      </c>
      <c r="J25" s="23">
        <f>INDEX($F$5:$F$28,I25)</f>
        <v/>
      </c>
      <c r="K25" s="26">
        <f>F25+G25+H25</f>
        <v/>
      </c>
    </row>
    <row r="26">
      <c r="A26" s="13">
        <f>S1_Input!A33</f>
        <v/>
      </c>
      <c r="B26" s="13">
        <f>S1_Input!B33</f>
        <v/>
      </c>
      <c r="C26" s="13">
        <f>S1_Input!C33</f>
        <v/>
      </c>
      <c r="D26" s="13">
        <f>S1_Input!D33</f>
        <v/>
      </c>
      <c r="E26" s="13">
        <f>S1_Input!E33</f>
        <v/>
      </c>
      <c r="F26" s="23">
        <f>IF(B26&gt;=S3_WOE_IV!$B$7,S3_WOE_IV!$F$9,S3_WOE_IV!$F$10)</f>
        <v/>
      </c>
      <c r="G26" s="23">
        <f>IF(C26&gt;=S3_WOE_IV!$B$13,S3_WOE_IV!$F$15,S3_WOE_IV!$F$16)</f>
        <v/>
      </c>
      <c r="H26" s="23">
        <f>IF(D26&gt;=S3_WOE_IV!$B$19,S3_WOE_IV!$F$21,S3_WOE_IV!$F$22)</f>
        <v/>
      </c>
      <c r="I26" s="9" t="n">
        <v>9</v>
      </c>
      <c r="J26" s="23">
        <f>INDEX($F$5:$F$28,I26)</f>
        <v/>
      </c>
      <c r="K26" s="26">
        <f>F26+G26+H26</f>
        <v/>
      </c>
    </row>
    <row r="27">
      <c r="A27" s="13">
        <f>S1_Input!A34</f>
        <v/>
      </c>
      <c r="B27" s="13">
        <f>S1_Input!B34</f>
        <v/>
      </c>
      <c r="C27" s="13">
        <f>S1_Input!C34</f>
        <v/>
      </c>
      <c r="D27" s="13">
        <f>S1_Input!D34</f>
        <v/>
      </c>
      <c r="E27" s="13">
        <f>S1_Input!E34</f>
        <v/>
      </c>
      <c r="F27" s="23">
        <f>IF(B27&gt;=S3_WOE_IV!$B$7,S3_WOE_IV!$F$9,S3_WOE_IV!$F$10)</f>
        <v/>
      </c>
      <c r="G27" s="23">
        <f>IF(C27&gt;=S3_WOE_IV!$B$13,S3_WOE_IV!$F$15,S3_WOE_IV!$F$16)</f>
        <v/>
      </c>
      <c r="H27" s="23">
        <f>IF(D27&gt;=S3_WOE_IV!$B$19,S3_WOE_IV!$F$21,S3_WOE_IV!$F$22)</f>
        <v/>
      </c>
      <c r="I27" s="9" t="n">
        <v>16</v>
      </c>
      <c r="J27" s="23">
        <f>INDEX($F$5:$F$28,I27)</f>
        <v/>
      </c>
      <c r="K27" s="26">
        <f>F27+G27+H27</f>
        <v/>
      </c>
    </row>
    <row r="28">
      <c r="A28" s="13">
        <f>S1_Input!A35</f>
        <v/>
      </c>
      <c r="B28" s="13">
        <f>S1_Input!B35</f>
        <v/>
      </c>
      <c r="C28" s="13">
        <f>S1_Input!C35</f>
        <v/>
      </c>
      <c r="D28" s="13">
        <f>S1_Input!D35</f>
        <v/>
      </c>
      <c r="E28" s="13">
        <f>S1_Input!E35</f>
        <v/>
      </c>
      <c r="F28" s="23">
        <f>IF(B28&gt;=S3_WOE_IV!$B$7,S3_WOE_IV!$F$9,S3_WOE_IV!$F$10)</f>
        <v/>
      </c>
      <c r="G28" s="23">
        <f>IF(C28&gt;=S3_WOE_IV!$B$13,S3_WOE_IV!$F$15,S3_WOE_IV!$F$16)</f>
        <v/>
      </c>
      <c r="H28" s="23">
        <f>IF(D28&gt;=S3_WOE_IV!$B$19,S3_WOE_IV!$F$21,S3_WOE_IV!$F$22)</f>
        <v/>
      </c>
      <c r="I28" s="9" t="n">
        <v>23</v>
      </c>
      <c r="J28" s="23">
        <f>INDEX($F$5:$F$28,I28)</f>
        <v/>
      </c>
      <c r="K28" s="26">
        <f>F28+G28+H28</f>
        <v/>
      </c>
    </row>
    <row r="30">
      <c r="A30" s="11" t="inlineStr">
        <is>
          <t>Full_score = Income_WOE + Debt_WOE + Emp_WOE (the 3 real features). Higher score = safer.</t>
        </is>
      </c>
    </row>
  </sheetData>
  <mergeCells count="1">
    <mergeCell ref="A30:K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S5 · Stage 2 — fair importance (Shapley) with a shadow-null bar</t>
        </is>
      </c>
    </row>
    <row r="2">
      <c r="A2" s="2" t="inlineStr">
        <is>
          <t>Each feature's fair share of the model's ranking power, averaged over every team it could join. A real feature is kept only if it beats the random 'shadow'.</t>
        </is>
      </c>
    </row>
    <row r="4">
      <c r="A4" s="12" t="inlineStr">
        <is>
          <t>Player</t>
        </is>
      </c>
      <c r="B4" s="12" t="inlineStr">
        <is>
          <t>Shapley importance</t>
        </is>
      </c>
      <c r="C4" s="12" t="inlineStr">
        <is>
          <t>Shadow bar</t>
        </is>
      </c>
      <c r="D4" s="12" t="inlineStr">
        <is>
          <t>Confirmed?</t>
        </is>
      </c>
    </row>
    <row r="5">
      <c r="A5" s="27" t="inlineStr">
        <is>
          <t>Income</t>
        </is>
      </c>
      <c r="B5" s="28">
        <f>0.250000*(S5b_Engine!$D$31-S5b_Engine!$B$31)+0.083333*(S5b_Engine!$L$31-S5b_Engine!$F$31)+0.083333*(S5b_Engine!$N$31-S5b_Engine!$H$31)+0.083333*(S5b_Engine!$P$31-S5b_Engine!$J$31)+0.083333*(S5b_Engine!$X$31-S5b_Engine!$R$31)+0.083333*(S5b_Engine!$Z$31-S5b_Engine!$T$31)+0.083333*(S5b_Engine!$AB$31-S5b_Engine!$V$31)+0.250000*(S5b_Engine!$AF$31-S5b_Engine!$AD$31)</f>
        <v/>
      </c>
      <c r="C5" s="29">
        <f>$B$8</f>
        <v/>
      </c>
      <c r="D5" s="30">
        <f>IF(B5&gt;$B$8,"CONFIRMED","rejected")</f>
        <v/>
      </c>
    </row>
    <row r="6">
      <c r="A6" s="27" t="inlineStr">
        <is>
          <t>Debt</t>
        </is>
      </c>
      <c r="B6" s="28">
        <f>0.250000*(S5b_Engine!$F$31-S5b_Engine!$B$31)+0.083333*(S5b_Engine!$L$31-S5b_Engine!$D$31)+0.083333*(S5b_Engine!$R$31-S5b_Engine!$H$31)+0.083333*(S5b_Engine!$T$31-S5b_Engine!$J$31)+0.083333*(S5b_Engine!$X$31-S5b_Engine!$N$31)+0.083333*(S5b_Engine!$Z$31-S5b_Engine!$P$31)+0.083333*(S5b_Engine!$AD$31-S5b_Engine!$V$31)+0.250000*(S5b_Engine!$AF$31-S5b_Engine!$AB$31)</f>
        <v/>
      </c>
      <c r="C6" s="29">
        <f>$B$8</f>
        <v/>
      </c>
      <c r="D6" s="30">
        <f>IF(B6&gt;$B$8,"CONFIRMED","rejected")</f>
        <v/>
      </c>
    </row>
    <row r="7">
      <c r="A7" s="27" t="inlineStr">
        <is>
          <t>Emp</t>
        </is>
      </c>
      <c r="B7" s="28">
        <f>0.250000*(S5b_Engine!$H$31-S5b_Engine!$B$31)+0.083333*(S5b_Engine!$N$31-S5b_Engine!$D$31)+0.083333*(S5b_Engine!$R$31-S5b_Engine!$F$31)+0.083333*(S5b_Engine!$V$31-S5b_Engine!$J$31)+0.083333*(S5b_Engine!$X$31-S5b_Engine!$L$31)+0.083333*(S5b_Engine!$AB$31-S5b_Engine!$P$31)+0.083333*(S5b_Engine!$AD$31-S5b_Engine!$T$31)+0.250000*(S5b_Engine!$AF$31-S5b_Engine!$Z$31)</f>
        <v/>
      </c>
      <c r="C7" s="29">
        <f>$B$8</f>
        <v/>
      </c>
      <c r="D7" s="30">
        <f>IF(B7&gt;$B$8,"CONFIRMED","rejected")</f>
        <v/>
      </c>
    </row>
    <row r="8">
      <c r="A8" s="27" t="inlineStr">
        <is>
          <t>Shadow</t>
        </is>
      </c>
      <c r="B8" s="28">
        <f>0.250000*(S5b_Engine!$J$31-S5b_Engine!$B$31)+0.083333*(S5b_Engine!$P$31-S5b_Engine!$D$31)+0.083333*(S5b_Engine!$T$31-S5b_Engine!$F$31)+0.083333*(S5b_Engine!$V$31-S5b_Engine!$H$31)+0.083333*(S5b_Engine!$Z$31-S5b_Engine!$L$31)+0.083333*(S5b_Engine!$AB$31-S5b_Engine!$N$31)+0.083333*(S5b_Engine!$AD$31-S5b_Engine!$R$31)+0.250000*(S5b_Engine!$AF$31-S5b_Engine!$X$31)</f>
        <v/>
      </c>
      <c r="C8" s="31" t="inlineStr">
        <is>
          <t>(itself)</t>
        </is>
      </c>
      <c r="D8" s="31" t="inlineStr">
        <is>
          <t>noise control</t>
        </is>
      </c>
    </row>
    <row r="10">
      <c r="A10" s="11" t="inlineStr">
        <is>
          <t>Shadow-null rule: keep a feature only if its Shapley importance exceeds the shadow's (the real pipeline uses the 95th percentile of ≥10 shadows; here one shadow stands in). No p-values are used.</t>
        </is>
      </c>
    </row>
  </sheetData>
  <mergeCells count="1"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S5b · Calculation engine (reference only)</t>
        </is>
      </c>
    </row>
    <row r="2">
      <c r="A2" s="2" t="inlineStr">
        <is>
          <t>For every subset of the 4 players, the AUC of its summed-WOE score. S5 reads these to compute Shapley importance. You don't need to edit this tab.</t>
        </is>
      </c>
    </row>
    <row r="3">
      <c r="A3" s="32" t="inlineStr">
        <is>
          <t>Applicant</t>
        </is>
      </c>
      <c r="B3" s="32" t="inlineStr">
        <is>
          <t>Default</t>
        </is>
      </c>
      <c r="D3" s="33" t="inlineStr">
        <is>
          <t>{Inc}</t>
        </is>
      </c>
      <c r="F3" s="33" t="inlineStr">
        <is>
          <t>{Deb}</t>
        </is>
      </c>
      <c r="H3" s="33" t="inlineStr">
        <is>
          <t>{Emp}</t>
        </is>
      </c>
      <c r="J3" s="33" t="inlineStr">
        <is>
          <t>{Sha}</t>
        </is>
      </c>
      <c r="L3" s="33" t="inlineStr">
        <is>
          <t>{Inc,Deb}</t>
        </is>
      </c>
      <c r="N3" s="33" t="inlineStr">
        <is>
          <t>{Inc,Emp}</t>
        </is>
      </c>
      <c r="P3" s="33" t="inlineStr">
        <is>
          <t>{Inc,Sha}</t>
        </is>
      </c>
      <c r="R3" s="33" t="inlineStr">
        <is>
          <t>{Deb,Emp}</t>
        </is>
      </c>
      <c r="T3" s="33" t="inlineStr">
        <is>
          <t>{Deb,Sha}</t>
        </is>
      </c>
      <c r="V3" s="33" t="inlineStr">
        <is>
          <t>{Emp,Sha}</t>
        </is>
      </c>
      <c r="X3" s="33" t="inlineStr">
        <is>
          <t>{Inc,Deb,Emp}</t>
        </is>
      </c>
      <c r="Z3" s="33" t="inlineStr">
        <is>
          <t>{Inc,Deb,Sha}</t>
        </is>
      </c>
      <c r="AB3" s="33" t="inlineStr">
        <is>
          <t>{Inc,Emp,Sha}</t>
        </is>
      </c>
      <c r="AD3" s="33" t="inlineStr">
        <is>
          <t>{Deb,Emp,Sha}</t>
        </is>
      </c>
      <c r="AF3" s="33" t="inlineStr">
        <is>
          <t>{Inc,Deb,Emp,Sha}</t>
        </is>
      </c>
    </row>
    <row r="4">
      <c r="D4" s="34" t="inlineStr">
        <is>
          <t>score</t>
        </is>
      </c>
      <c r="E4" s="34" t="inlineStr">
        <is>
          <t>rank</t>
        </is>
      </c>
      <c r="F4" s="34" t="inlineStr">
        <is>
          <t>score</t>
        </is>
      </c>
      <c r="G4" s="34" t="inlineStr">
        <is>
          <t>rank</t>
        </is>
      </c>
      <c r="H4" s="34" t="inlineStr">
        <is>
          <t>score</t>
        </is>
      </c>
      <c r="I4" s="34" t="inlineStr">
        <is>
          <t>rank</t>
        </is>
      </c>
      <c r="J4" s="34" t="inlineStr">
        <is>
          <t>score</t>
        </is>
      </c>
      <c r="K4" s="34" t="inlineStr">
        <is>
          <t>rank</t>
        </is>
      </c>
      <c r="L4" s="34" t="inlineStr">
        <is>
          <t>score</t>
        </is>
      </c>
      <c r="M4" s="34" t="inlineStr">
        <is>
          <t>rank</t>
        </is>
      </c>
      <c r="N4" s="34" t="inlineStr">
        <is>
          <t>score</t>
        </is>
      </c>
      <c r="O4" s="34" t="inlineStr">
        <is>
          <t>rank</t>
        </is>
      </c>
      <c r="P4" s="34" t="inlineStr">
        <is>
          <t>score</t>
        </is>
      </c>
      <c r="Q4" s="34" t="inlineStr">
        <is>
          <t>rank</t>
        </is>
      </c>
      <c r="R4" s="34" t="inlineStr">
        <is>
          <t>score</t>
        </is>
      </c>
      <c r="S4" s="34" t="inlineStr">
        <is>
          <t>rank</t>
        </is>
      </c>
      <c r="T4" s="34" t="inlineStr">
        <is>
          <t>score</t>
        </is>
      </c>
      <c r="U4" s="34" t="inlineStr">
        <is>
          <t>rank</t>
        </is>
      </c>
      <c r="V4" s="34" t="inlineStr">
        <is>
          <t>score</t>
        </is>
      </c>
      <c r="W4" s="34" t="inlineStr">
        <is>
          <t>rank</t>
        </is>
      </c>
      <c r="X4" s="34" t="inlineStr">
        <is>
          <t>score</t>
        </is>
      </c>
      <c r="Y4" s="34" t="inlineStr">
        <is>
          <t>rank</t>
        </is>
      </c>
      <c r="Z4" s="34" t="inlineStr">
        <is>
          <t>score</t>
        </is>
      </c>
      <c r="AA4" s="34" t="inlineStr">
        <is>
          <t>rank</t>
        </is>
      </c>
      <c r="AB4" s="34" t="inlineStr">
        <is>
          <t>score</t>
        </is>
      </c>
      <c r="AC4" s="34" t="inlineStr">
        <is>
          <t>rank</t>
        </is>
      </c>
      <c r="AD4" s="34" t="inlineStr">
        <is>
          <t>score</t>
        </is>
      </c>
      <c r="AE4" s="34" t="inlineStr">
        <is>
          <t>rank</t>
        </is>
      </c>
      <c r="AF4" s="34" t="inlineStr">
        <is>
          <t>score</t>
        </is>
      </c>
      <c r="AG4" s="34" t="inlineStr">
        <is>
          <t>rank</t>
        </is>
      </c>
    </row>
    <row r="5">
      <c r="A5" s="35">
        <f>S4_Encoded!A5</f>
        <v/>
      </c>
      <c r="B5" s="35">
        <f>S4_Encoded!E5</f>
        <v/>
      </c>
      <c r="D5" s="36">
        <f>S4_Encoded!F5</f>
        <v/>
      </c>
      <c r="E5" s="37">
        <f>COUNTIF(D$5:D$28,"&lt;"&amp;D5)+(COUNTIF(D$5:D$28,"="&amp;D5)+1)/2</f>
        <v/>
      </c>
      <c r="F5" s="36">
        <f>S4_Encoded!G5</f>
        <v/>
      </c>
      <c r="G5" s="37">
        <f>COUNTIF(F$5:F$28,"&lt;"&amp;F5)+(COUNTIF(F$5:F$28,"="&amp;F5)+1)/2</f>
        <v/>
      </c>
      <c r="H5" s="36">
        <f>S4_Encoded!H5</f>
        <v/>
      </c>
      <c r="I5" s="37">
        <f>COUNTIF(H$5:H$28,"&lt;"&amp;H5)+(COUNTIF(H$5:H$28,"="&amp;H5)+1)/2</f>
        <v/>
      </c>
      <c r="J5" s="36">
        <f>S4_Encoded!J5</f>
        <v/>
      </c>
      <c r="K5" s="37">
        <f>COUNTIF(J$5:J$28,"&lt;"&amp;J5)+(COUNTIF(J$5:J$28,"="&amp;J5)+1)/2</f>
        <v/>
      </c>
      <c r="L5" s="36">
        <f>S4_Encoded!F5+S4_Encoded!G5</f>
        <v/>
      </c>
      <c r="M5" s="37">
        <f>COUNTIF(L$5:L$28,"&lt;"&amp;L5)+(COUNTIF(L$5:L$28,"="&amp;L5)+1)/2</f>
        <v/>
      </c>
      <c r="N5" s="36">
        <f>S4_Encoded!F5+S4_Encoded!H5</f>
        <v/>
      </c>
      <c r="O5" s="37">
        <f>COUNTIF(N$5:N$28,"&lt;"&amp;N5)+(COUNTIF(N$5:N$28,"="&amp;N5)+1)/2</f>
        <v/>
      </c>
      <c r="P5" s="36">
        <f>S4_Encoded!F5+S4_Encoded!J5</f>
        <v/>
      </c>
      <c r="Q5" s="37">
        <f>COUNTIF(P$5:P$28,"&lt;"&amp;P5)+(COUNTIF(P$5:P$28,"="&amp;P5)+1)/2</f>
        <v/>
      </c>
      <c r="R5" s="36">
        <f>S4_Encoded!G5+S4_Encoded!H5</f>
        <v/>
      </c>
      <c r="S5" s="37">
        <f>COUNTIF(R$5:R$28,"&lt;"&amp;R5)+(COUNTIF(R$5:R$28,"="&amp;R5)+1)/2</f>
        <v/>
      </c>
      <c r="T5" s="36">
        <f>S4_Encoded!G5+S4_Encoded!J5</f>
        <v/>
      </c>
      <c r="U5" s="37">
        <f>COUNTIF(T$5:T$28,"&lt;"&amp;T5)+(COUNTIF(T$5:T$28,"="&amp;T5)+1)/2</f>
        <v/>
      </c>
      <c r="V5" s="36">
        <f>S4_Encoded!H5+S4_Encoded!J5</f>
        <v/>
      </c>
      <c r="W5" s="37">
        <f>COUNTIF(V$5:V$28,"&lt;"&amp;V5)+(COUNTIF(V$5:V$28,"="&amp;V5)+1)/2</f>
        <v/>
      </c>
      <c r="X5" s="36">
        <f>S4_Encoded!F5+S4_Encoded!G5+S4_Encoded!H5</f>
        <v/>
      </c>
      <c r="Y5" s="37">
        <f>COUNTIF(X$5:X$28,"&lt;"&amp;X5)+(COUNTIF(X$5:X$28,"="&amp;X5)+1)/2</f>
        <v/>
      </c>
      <c r="Z5" s="36">
        <f>S4_Encoded!F5+S4_Encoded!G5+S4_Encoded!J5</f>
        <v/>
      </c>
      <c r="AA5" s="37">
        <f>COUNTIF(Z$5:Z$28,"&lt;"&amp;Z5)+(COUNTIF(Z$5:Z$28,"="&amp;Z5)+1)/2</f>
        <v/>
      </c>
      <c r="AB5" s="36">
        <f>S4_Encoded!F5+S4_Encoded!H5+S4_Encoded!J5</f>
        <v/>
      </c>
      <c r="AC5" s="37">
        <f>COUNTIF(AB$5:AB$28,"&lt;"&amp;AB5)+(COUNTIF(AB$5:AB$28,"="&amp;AB5)+1)/2</f>
        <v/>
      </c>
      <c r="AD5" s="36">
        <f>S4_Encoded!G5+S4_Encoded!H5+S4_Encoded!J5</f>
        <v/>
      </c>
      <c r="AE5" s="37">
        <f>COUNTIF(AD$5:AD$28,"&lt;"&amp;AD5)+(COUNTIF(AD$5:AD$28,"="&amp;AD5)+1)/2</f>
        <v/>
      </c>
      <c r="AF5" s="36">
        <f>S4_Encoded!F5+S4_Encoded!G5+S4_Encoded!H5+S4_Encoded!J5</f>
        <v/>
      </c>
      <c r="AG5" s="37">
        <f>COUNTIF(AF$5:AF$28,"&lt;"&amp;AF5)+(COUNTIF(AF$5:AF$28,"="&amp;AF5)+1)/2</f>
        <v/>
      </c>
    </row>
    <row r="6">
      <c r="A6" s="35">
        <f>S4_Encoded!A6</f>
        <v/>
      </c>
      <c r="B6" s="35">
        <f>S4_Encoded!E6</f>
        <v/>
      </c>
      <c r="D6" s="36">
        <f>S4_Encoded!F6</f>
        <v/>
      </c>
      <c r="E6" s="37">
        <f>COUNTIF(D$5:D$28,"&lt;"&amp;D6)+(COUNTIF(D$5:D$28,"="&amp;D6)+1)/2</f>
        <v/>
      </c>
      <c r="F6" s="36">
        <f>S4_Encoded!G6</f>
        <v/>
      </c>
      <c r="G6" s="37">
        <f>COUNTIF(F$5:F$28,"&lt;"&amp;F6)+(COUNTIF(F$5:F$28,"="&amp;F6)+1)/2</f>
        <v/>
      </c>
      <c r="H6" s="36">
        <f>S4_Encoded!H6</f>
        <v/>
      </c>
      <c r="I6" s="37">
        <f>COUNTIF(H$5:H$28,"&lt;"&amp;H6)+(COUNTIF(H$5:H$28,"="&amp;H6)+1)/2</f>
        <v/>
      </c>
      <c r="J6" s="36">
        <f>S4_Encoded!J6</f>
        <v/>
      </c>
      <c r="K6" s="37">
        <f>COUNTIF(J$5:J$28,"&lt;"&amp;J6)+(COUNTIF(J$5:J$28,"="&amp;J6)+1)/2</f>
        <v/>
      </c>
      <c r="L6" s="36">
        <f>S4_Encoded!F6+S4_Encoded!G6</f>
        <v/>
      </c>
      <c r="M6" s="37">
        <f>COUNTIF(L$5:L$28,"&lt;"&amp;L6)+(COUNTIF(L$5:L$28,"="&amp;L6)+1)/2</f>
        <v/>
      </c>
      <c r="N6" s="36">
        <f>S4_Encoded!F6+S4_Encoded!H6</f>
        <v/>
      </c>
      <c r="O6" s="37">
        <f>COUNTIF(N$5:N$28,"&lt;"&amp;N6)+(COUNTIF(N$5:N$28,"="&amp;N6)+1)/2</f>
        <v/>
      </c>
      <c r="P6" s="36">
        <f>S4_Encoded!F6+S4_Encoded!J6</f>
        <v/>
      </c>
      <c r="Q6" s="37">
        <f>COUNTIF(P$5:P$28,"&lt;"&amp;P6)+(COUNTIF(P$5:P$28,"="&amp;P6)+1)/2</f>
        <v/>
      </c>
      <c r="R6" s="36">
        <f>S4_Encoded!G6+S4_Encoded!H6</f>
        <v/>
      </c>
      <c r="S6" s="37">
        <f>COUNTIF(R$5:R$28,"&lt;"&amp;R6)+(COUNTIF(R$5:R$28,"="&amp;R6)+1)/2</f>
        <v/>
      </c>
      <c r="T6" s="36">
        <f>S4_Encoded!G6+S4_Encoded!J6</f>
        <v/>
      </c>
      <c r="U6" s="37">
        <f>COUNTIF(T$5:T$28,"&lt;"&amp;T6)+(COUNTIF(T$5:T$28,"="&amp;T6)+1)/2</f>
        <v/>
      </c>
      <c r="V6" s="36">
        <f>S4_Encoded!H6+S4_Encoded!J6</f>
        <v/>
      </c>
      <c r="W6" s="37">
        <f>COUNTIF(V$5:V$28,"&lt;"&amp;V6)+(COUNTIF(V$5:V$28,"="&amp;V6)+1)/2</f>
        <v/>
      </c>
      <c r="X6" s="36">
        <f>S4_Encoded!F6+S4_Encoded!G6+S4_Encoded!H6</f>
        <v/>
      </c>
      <c r="Y6" s="37">
        <f>COUNTIF(X$5:X$28,"&lt;"&amp;X6)+(COUNTIF(X$5:X$28,"="&amp;X6)+1)/2</f>
        <v/>
      </c>
      <c r="Z6" s="36">
        <f>S4_Encoded!F6+S4_Encoded!G6+S4_Encoded!J6</f>
        <v/>
      </c>
      <c r="AA6" s="37">
        <f>COUNTIF(Z$5:Z$28,"&lt;"&amp;Z6)+(COUNTIF(Z$5:Z$28,"="&amp;Z6)+1)/2</f>
        <v/>
      </c>
      <c r="AB6" s="36">
        <f>S4_Encoded!F6+S4_Encoded!H6+S4_Encoded!J6</f>
        <v/>
      </c>
      <c r="AC6" s="37">
        <f>COUNTIF(AB$5:AB$28,"&lt;"&amp;AB6)+(COUNTIF(AB$5:AB$28,"="&amp;AB6)+1)/2</f>
        <v/>
      </c>
      <c r="AD6" s="36">
        <f>S4_Encoded!G6+S4_Encoded!H6+S4_Encoded!J6</f>
        <v/>
      </c>
      <c r="AE6" s="37">
        <f>COUNTIF(AD$5:AD$28,"&lt;"&amp;AD6)+(COUNTIF(AD$5:AD$28,"="&amp;AD6)+1)/2</f>
        <v/>
      </c>
      <c r="AF6" s="36">
        <f>S4_Encoded!F6+S4_Encoded!G6+S4_Encoded!H6+S4_Encoded!J6</f>
        <v/>
      </c>
      <c r="AG6" s="37">
        <f>COUNTIF(AF$5:AF$28,"&lt;"&amp;AF6)+(COUNTIF(AF$5:AF$28,"="&amp;AF6)+1)/2</f>
        <v/>
      </c>
    </row>
    <row r="7">
      <c r="A7" s="35">
        <f>S4_Encoded!A7</f>
        <v/>
      </c>
      <c r="B7" s="35">
        <f>S4_Encoded!E7</f>
        <v/>
      </c>
      <c r="D7" s="36">
        <f>S4_Encoded!F7</f>
        <v/>
      </c>
      <c r="E7" s="37">
        <f>COUNTIF(D$5:D$28,"&lt;"&amp;D7)+(COUNTIF(D$5:D$28,"="&amp;D7)+1)/2</f>
        <v/>
      </c>
      <c r="F7" s="36">
        <f>S4_Encoded!G7</f>
        <v/>
      </c>
      <c r="G7" s="37">
        <f>COUNTIF(F$5:F$28,"&lt;"&amp;F7)+(COUNTIF(F$5:F$28,"="&amp;F7)+1)/2</f>
        <v/>
      </c>
      <c r="H7" s="36">
        <f>S4_Encoded!H7</f>
        <v/>
      </c>
      <c r="I7" s="37">
        <f>COUNTIF(H$5:H$28,"&lt;"&amp;H7)+(COUNTIF(H$5:H$28,"="&amp;H7)+1)/2</f>
        <v/>
      </c>
      <c r="J7" s="36">
        <f>S4_Encoded!J7</f>
        <v/>
      </c>
      <c r="K7" s="37">
        <f>COUNTIF(J$5:J$28,"&lt;"&amp;J7)+(COUNTIF(J$5:J$28,"="&amp;J7)+1)/2</f>
        <v/>
      </c>
      <c r="L7" s="36">
        <f>S4_Encoded!F7+S4_Encoded!G7</f>
        <v/>
      </c>
      <c r="M7" s="37">
        <f>COUNTIF(L$5:L$28,"&lt;"&amp;L7)+(COUNTIF(L$5:L$28,"="&amp;L7)+1)/2</f>
        <v/>
      </c>
      <c r="N7" s="36">
        <f>S4_Encoded!F7+S4_Encoded!H7</f>
        <v/>
      </c>
      <c r="O7" s="37">
        <f>COUNTIF(N$5:N$28,"&lt;"&amp;N7)+(COUNTIF(N$5:N$28,"="&amp;N7)+1)/2</f>
        <v/>
      </c>
      <c r="P7" s="36">
        <f>S4_Encoded!F7+S4_Encoded!J7</f>
        <v/>
      </c>
      <c r="Q7" s="37">
        <f>COUNTIF(P$5:P$28,"&lt;"&amp;P7)+(COUNTIF(P$5:P$28,"="&amp;P7)+1)/2</f>
        <v/>
      </c>
      <c r="R7" s="36">
        <f>S4_Encoded!G7+S4_Encoded!H7</f>
        <v/>
      </c>
      <c r="S7" s="37">
        <f>COUNTIF(R$5:R$28,"&lt;"&amp;R7)+(COUNTIF(R$5:R$28,"="&amp;R7)+1)/2</f>
        <v/>
      </c>
      <c r="T7" s="36">
        <f>S4_Encoded!G7+S4_Encoded!J7</f>
        <v/>
      </c>
      <c r="U7" s="37">
        <f>COUNTIF(T$5:T$28,"&lt;"&amp;T7)+(COUNTIF(T$5:T$28,"="&amp;T7)+1)/2</f>
        <v/>
      </c>
      <c r="V7" s="36">
        <f>S4_Encoded!H7+S4_Encoded!J7</f>
        <v/>
      </c>
      <c r="W7" s="37">
        <f>COUNTIF(V$5:V$28,"&lt;"&amp;V7)+(COUNTIF(V$5:V$28,"="&amp;V7)+1)/2</f>
        <v/>
      </c>
      <c r="X7" s="36">
        <f>S4_Encoded!F7+S4_Encoded!G7+S4_Encoded!H7</f>
        <v/>
      </c>
      <c r="Y7" s="37">
        <f>COUNTIF(X$5:X$28,"&lt;"&amp;X7)+(COUNTIF(X$5:X$28,"="&amp;X7)+1)/2</f>
        <v/>
      </c>
      <c r="Z7" s="36">
        <f>S4_Encoded!F7+S4_Encoded!G7+S4_Encoded!J7</f>
        <v/>
      </c>
      <c r="AA7" s="37">
        <f>COUNTIF(Z$5:Z$28,"&lt;"&amp;Z7)+(COUNTIF(Z$5:Z$28,"="&amp;Z7)+1)/2</f>
        <v/>
      </c>
      <c r="AB7" s="36">
        <f>S4_Encoded!F7+S4_Encoded!H7+S4_Encoded!J7</f>
        <v/>
      </c>
      <c r="AC7" s="37">
        <f>COUNTIF(AB$5:AB$28,"&lt;"&amp;AB7)+(COUNTIF(AB$5:AB$28,"="&amp;AB7)+1)/2</f>
        <v/>
      </c>
      <c r="AD7" s="36">
        <f>S4_Encoded!G7+S4_Encoded!H7+S4_Encoded!J7</f>
        <v/>
      </c>
      <c r="AE7" s="37">
        <f>COUNTIF(AD$5:AD$28,"&lt;"&amp;AD7)+(COUNTIF(AD$5:AD$28,"="&amp;AD7)+1)/2</f>
        <v/>
      </c>
      <c r="AF7" s="36">
        <f>S4_Encoded!F7+S4_Encoded!G7+S4_Encoded!H7+S4_Encoded!J7</f>
        <v/>
      </c>
      <c r="AG7" s="37">
        <f>COUNTIF(AF$5:AF$28,"&lt;"&amp;AF7)+(COUNTIF(AF$5:AF$28,"="&amp;AF7)+1)/2</f>
        <v/>
      </c>
    </row>
    <row r="8">
      <c r="A8" s="35">
        <f>S4_Encoded!A8</f>
        <v/>
      </c>
      <c r="B8" s="35">
        <f>S4_Encoded!E8</f>
        <v/>
      </c>
      <c r="D8" s="36">
        <f>S4_Encoded!F8</f>
        <v/>
      </c>
      <c r="E8" s="37">
        <f>COUNTIF(D$5:D$28,"&lt;"&amp;D8)+(COUNTIF(D$5:D$28,"="&amp;D8)+1)/2</f>
        <v/>
      </c>
      <c r="F8" s="36">
        <f>S4_Encoded!G8</f>
        <v/>
      </c>
      <c r="G8" s="37">
        <f>COUNTIF(F$5:F$28,"&lt;"&amp;F8)+(COUNTIF(F$5:F$28,"="&amp;F8)+1)/2</f>
        <v/>
      </c>
      <c r="H8" s="36">
        <f>S4_Encoded!H8</f>
        <v/>
      </c>
      <c r="I8" s="37">
        <f>COUNTIF(H$5:H$28,"&lt;"&amp;H8)+(COUNTIF(H$5:H$28,"="&amp;H8)+1)/2</f>
        <v/>
      </c>
      <c r="J8" s="36">
        <f>S4_Encoded!J8</f>
        <v/>
      </c>
      <c r="K8" s="37">
        <f>COUNTIF(J$5:J$28,"&lt;"&amp;J8)+(COUNTIF(J$5:J$28,"="&amp;J8)+1)/2</f>
        <v/>
      </c>
      <c r="L8" s="36">
        <f>S4_Encoded!F8+S4_Encoded!G8</f>
        <v/>
      </c>
      <c r="M8" s="37">
        <f>COUNTIF(L$5:L$28,"&lt;"&amp;L8)+(COUNTIF(L$5:L$28,"="&amp;L8)+1)/2</f>
        <v/>
      </c>
      <c r="N8" s="36">
        <f>S4_Encoded!F8+S4_Encoded!H8</f>
        <v/>
      </c>
      <c r="O8" s="37">
        <f>COUNTIF(N$5:N$28,"&lt;"&amp;N8)+(COUNTIF(N$5:N$28,"="&amp;N8)+1)/2</f>
        <v/>
      </c>
      <c r="P8" s="36">
        <f>S4_Encoded!F8+S4_Encoded!J8</f>
        <v/>
      </c>
      <c r="Q8" s="37">
        <f>COUNTIF(P$5:P$28,"&lt;"&amp;P8)+(COUNTIF(P$5:P$28,"="&amp;P8)+1)/2</f>
        <v/>
      </c>
      <c r="R8" s="36">
        <f>S4_Encoded!G8+S4_Encoded!H8</f>
        <v/>
      </c>
      <c r="S8" s="37">
        <f>COUNTIF(R$5:R$28,"&lt;"&amp;R8)+(COUNTIF(R$5:R$28,"="&amp;R8)+1)/2</f>
        <v/>
      </c>
      <c r="T8" s="36">
        <f>S4_Encoded!G8+S4_Encoded!J8</f>
        <v/>
      </c>
      <c r="U8" s="37">
        <f>COUNTIF(T$5:T$28,"&lt;"&amp;T8)+(COUNTIF(T$5:T$28,"="&amp;T8)+1)/2</f>
        <v/>
      </c>
      <c r="V8" s="36">
        <f>S4_Encoded!H8+S4_Encoded!J8</f>
        <v/>
      </c>
      <c r="W8" s="37">
        <f>COUNTIF(V$5:V$28,"&lt;"&amp;V8)+(COUNTIF(V$5:V$28,"="&amp;V8)+1)/2</f>
        <v/>
      </c>
      <c r="X8" s="36">
        <f>S4_Encoded!F8+S4_Encoded!G8+S4_Encoded!H8</f>
        <v/>
      </c>
      <c r="Y8" s="37">
        <f>COUNTIF(X$5:X$28,"&lt;"&amp;X8)+(COUNTIF(X$5:X$28,"="&amp;X8)+1)/2</f>
        <v/>
      </c>
      <c r="Z8" s="36">
        <f>S4_Encoded!F8+S4_Encoded!G8+S4_Encoded!J8</f>
        <v/>
      </c>
      <c r="AA8" s="37">
        <f>COUNTIF(Z$5:Z$28,"&lt;"&amp;Z8)+(COUNTIF(Z$5:Z$28,"="&amp;Z8)+1)/2</f>
        <v/>
      </c>
      <c r="AB8" s="36">
        <f>S4_Encoded!F8+S4_Encoded!H8+S4_Encoded!J8</f>
        <v/>
      </c>
      <c r="AC8" s="37">
        <f>COUNTIF(AB$5:AB$28,"&lt;"&amp;AB8)+(COUNTIF(AB$5:AB$28,"="&amp;AB8)+1)/2</f>
        <v/>
      </c>
      <c r="AD8" s="36">
        <f>S4_Encoded!G8+S4_Encoded!H8+S4_Encoded!J8</f>
        <v/>
      </c>
      <c r="AE8" s="37">
        <f>COUNTIF(AD$5:AD$28,"&lt;"&amp;AD8)+(COUNTIF(AD$5:AD$28,"="&amp;AD8)+1)/2</f>
        <v/>
      </c>
      <c r="AF8" s="36">
        <f>S4_Encoded!F8+S4_Encoded!G8+S4_Encoded!H8+S4_Encoded!J8</f>
        <v/>
      </c>
      <c r="AG8" s="37">
        <f>COUNTIF(AF$5:AF$28,"&lt;"&amp;AF8)+(COUNTIF(AF$5:AF$28,"="&amp;AF8)+1)/2</f>
        <v/>
      </c>
    </row>
    <row r="9">
      <c r="A9" s="35">
        <f>S4_Encoded!A9</f>
        <v/>
      </c>
      <c r="B9" s="35">
        <f>S4_Encoded!E9</f>
        <v/>
      </c>
      <c r="D9" s="36">
        <f>S4_Encoded!F9</f>
        <v/>
      </c>
      <c r="E9" s="37">
        <f>COUNTIF(D$5:D$28,"&lt;"&amp;D9)+(COUNTIF(D$5:D$28,"="&amp;D9)+1)/2</f>
        <v/>
      </c>
      <c r="F9" s="36">
        <f>S4_Encoded!G9</f>
        <v/>
      </c>
      <c r="G9" s="37">
        <f>COUNTIF(F$5:F$28,"&lt;"&amp;F9)+(COUNTIF(F$5:F$28,"="&amp;F9)+1)/2</f>
        <v/>
      </c>
      <c r="H9" s="36">
        <f>S4_Encoded!H9</f>
        <v/>
      </c>
      <c r="I9" s="37">
        <f>COUNTIF(H$5:H$28,"&lt;"&amp;H9)+(COUNTIF(H$5:H$28,"="&amp;H9)+1)/2</f>
        <v/>
      </c>
      <c r="J9" s="36">
        <f>S4_Encoded!J9</f>
        <v/>
      </c>
      <c r="K9" s="37">
        <f>COUNTIF(J$5:J$28,"&lt;"&amp;J9)+(COUNTIF(J$5:J$28,"="&amp;J9)+1)/2</f>
        <v/>
      </c>
      <c r="L9" s="36">
        <f>S4_Encoded!F9+S4_Encoded!G9</f>
        <v/>
      </c>
      <c r="M9" s="37">
        <f>COUNTIF(L$5:L$28,"&lt;"&amp;L9)+(COUNTIF(L$5:L$28,"="&amp;L9)+1)/2</f>
        <v/>
      </c>
      <c r="N9" s="36">
        <f>S4_Encoded!F9+S4_Encoded!H9</f>
        <v/>
      </c>
      <c r="O9" s="37">
        <f>COUNTIF(N$5:N$28,"&lt;"&amp;N9)+(COUNTIF(N$5:N$28,"="&amp;N9)+1)/2</f>
        <v/>
      </c>
      <c r="P9" s="36">
        <f>S4_Encoded!F9+S4_Encoded!J9</f>
        <v/>
      </c>
      <c r="Q9" s="37">
        <f>COUNTIF(P$5:P$28,"&lt;"&amp;P9)+(COUNTIF(P$5:P$28,"="&amp;P9)+1)/2</f>
        <v/>
      </c>
      <c r="R9" s="36">
        <f>S4_Encoded!G9+S4_Encoded!H9</f>
        <v/>
      </c>
      <c r="S9" s="37">
        <f>COUNTIF(R$5:R$28,"&lt;"&amp;R9)+(COUNTIF(R$5:R$28,"="&amp;R9)+1)/2</f>
        <v/>
      </c>
      <c r="T9" s="36">
        <f>S4_Encoded!G9+S4_Encoded!J9</f>
        <v/>
      </c>
      <c r="U9" s="37">
        <f>COUNTIF(T$5:T$28,"&lt;"&amp;T9)+(COUNTIF(T$5:T$28,"="&amp;T9)+1)/2</f>
        <v/>
      </c>
      <c r="V9" s="36">
        <f>S4_Encoded!H9+S4_Encoded!J9</f>
        <v/>
      </c>
      <c r="W9" s="37">
        <f>COUNTIF(V$5:V$28,"&lt;"&amp;V9)+(COUNTIF(V$5:V$28,"="&amp;V9)+1)/2</f>
        <v/>
      </c>
      <c r="X9" s="36">
        <f>S4_Encoded!F9+S4_Encoded!G9+S4_Encoded!H9</f>
        <v/>
      </c>
      <c r="Y9" s="37">
        <f>COUNTIF(X$5:X$28,"&lt;"&amp;X9)+(COUNTIF(X$5:X$28,"="&amp;X9)+1)/2</f>
        <v/>
      </c>
      <c r="Z9" s="36">
        <f>S4_Encoded!F9+S4_Encoded!G9+S4_Encoded!J9</f>
        <v/>
      </c>
      <c r="AA9" s="37">
        <f>COUNTIF(Z$5:Z$28,"&lt;"&amp;Z9)+(COUNTIF(Z$5:Z$28,"="&amp;Z9)+1)/2</f>
        <v/>
      </c>
      <c r="AB9" s="36">
        <f>S4_Encoded!F9+S4_Encoded!H9+S4_Encoded!J9</f>
        <v/>
      </c>
      <c r="AC9" s="37">
        <f>COUNTIF(AB$5:AB$28,"&lt;"&amp;AB9)+(COUNTIF(AB$5:AB$28,"="&amp;AB9)+1)/2</f>
        <v/>
      </c>
      <c r="AD9" s="36">
        <f>S4_Encoded!G9+S4_Encoded!H9+S4_Encoded!J9</f>
        <v/>
      </c>
      <c r="AE9" s="37">
        <f>COUNTIF(AD$5:AD$28,"&lt;"&amp;AD9)+(COUNTIF(AD$5:AD$28,"="&amp;AD9)+1)/2</f>
        <v/>
      </c>
      <c r="AF9" s="36">
        <f>S4_Encoded!F9+S4_Encoded!G9+S4_Encoded!H9+S4_Encoded!J9</f>
        <v/>
      </c>
      <c r="AG9" s="37">
        <f>COUNTIF(AF$5:AF$28,"&lt;"&amp;AF9)+(COUNTIF(AF$5:AF$28,"="&amp;AF9)+1)/2</f>
        <v/>
      </c>
    </row>
    <row r="10">
      <c r="A10" s="35">
        <f>S4_Encoded!A10</f>
        <v/>
      </c>
      <c r="B10" s="35">
        <f>S4_Encoded!E10</f>
        <v/>
      </c>
      <c r="D10" s="36">
        <f>S4_Encoded!F10</f>
        <v/>
      </c>
      <c r="E10" s="37">
        <f>COUNTIF(D$5:D$28,"&lt;"&amp;D10)+(COUNTIF(D$5:D$28,"="&amp;D10)+1)/2</f>
        <v/>
      </c>
      <c r="F10" s="36">
        <f>S4_Encoded!G10</f>
        <v/>
      </c>
      <c r="G10" s="37">
        <f>COUNTIF(F$5:F$28,"&lt;"&amp;F10)+(COUNTIF(F$5:F$28,"="&amp;F10)+1)/2</f>
        <v/>
      </c>
      <c r="H10" s="36">
        <f>S4_Encoded!H10</f>
        <v/>
      </c>
      <c r="I10" s="37">
        <f>COUNTIF(H$5:H$28,"&lt;"&amp;H10)+(COUNTIF(H$5:H$28,"="&amp;H10)+1)/2</f>
        <v/>
      </c>
      <c r="J10" s="36">
        <f>S4_Encoded!J10</f>
        <v/>
      </c>
      <c r="K10" s="37">
        <f>COUNTIF(J$5:J$28,"&lt;"&amp;J10)+(COUNTIF(J$5:J$28,"="&amp;J10)+1)/2</f>
        <v/>
      </c>
      <c r="L10" s="36">
        <f>S4_Encoded!F10+S4_Encoded!G10</f>
        <v/>
      </c>
      <c r="M10" s="37">
        <f>COUNTIF(L$5:L$28,"&lt;"&amp;L10)+(COUNTIF(L$5:L$28,"="&amp;L10)+1)/2</f>
        <v/>
      </c>
      <c r="N10" s="36">
        <f>S4_Encoded!F10+S4_Encoded!H10</f>
        <v/>
      </c>
      <c r="O10" s="37">
        <f>COUNTIF(N$5:N$28,"&lt;"&amp;N10)+(COUNTIF(N$5:N$28,"="&amp;N10)+1)/2</f>
        <v/>
      </c>
      <c r="P10" s="36">
        <f>S4_Encoded!F10+S4_Encoded!J10</f>
        <v/>
      </c>
      <c r="Q10" s="37">
        <f>COUNTIF(P$5:P$28,"&lt;"&amp;P10)+(COUNTIF(P$5:P$28,"="&amp;P10)+1)/2</f>
        <v/>
      </c>
      <c r="R10" s="36">
        <f>S4_Encoded!G10+S4_Encoded!H10</f>
        <v/>
      </c>
      <c r="S10" s="37">
        <f>COUNTIF(R$5:R$28,"&lt;"&amp;R10)+(COUNTIF(R$5:R$28,"="&amp;R10)+1)/2</f>
        <v/>
      </c>
      <c r="T10" s="36">
        <f>S4_Encoded!G10+S4_Encoded!J10</f>
        <v/>
      </c>
      <c r="U10" s="37">
        <f>COUNTIF(T$5:T$28,"&lt;"&amp;T10)+(COUNTIF(T$5:T$28,"="&amp;T10)+1)/2</f>
        <v/>
      </c>
      <c r="V10" s="36">
        <f>S4_Encoded!H10+S4_Encoded!J10</f>
        <v/>
      </c>
      <c r="W10" s="37">
        <f>COUNTIF(V$5:V$28,"&lt;"&amp;V10)+(COUNTIF(V$5:V$28,"="&amp;V10)+1)/2</f>
        <v/>
      </c>
      <c r="X10" s="36">
        <f>S4_Encoded!F10+S4_Encoded!G10+S4_Encoded!H10</f>
        <v/>
      </c>
      <c r="Y10" s="37">
        <f>COUNTIF(X$5:X$28,"&lt;"&amp;X10)+(COUNTIF(X$5:X$28,"="&amp;X10)+1)/2</f>
        <v/>
      </c>
      <c r="Z10" s="36">
        <f>S4_Encoded!F10+S4_Encoded!G10+S4_Encoded!J10</f>
        <v/>
      </c>
      <c r="AA10" s="37">
        <f>COUNTIF(Z$5:Z$28,"&lt;"&amp;Z10)+(COUNTIF(Z$5:Z$28,"="&amp;Z10)+1)/2</f>
        <v/>
      </c>
      <c r="AB10" s="36">
        <f>S4_Encoded!F10+S4_Encoded!H10+S4_Encoded!J10</f>
        <v/>
      </c>
      <c r="AC10" s="37">
        <f>COUNTIF(AB$5:AB$28,"&lt;"&amp;AB10)+(COUNTIF(AB$5:AB$28,"="&amp;AB10)+1)/2</f>
        <v/>
      </c>
      <c r="AD10" s="36">
        <f>S4_Encoded!G10+S4_Encoded!H10+S4_Encoded!J10</f>
        <v/>
      </c>
      <c r="AE10" s="37">
        <f>COUNTIF(AD$5:AD$28,"&lt;"&amp;AD10)+(COUNTIF(AD$5:AD$28,"="&amp;AD10)+1)/2</f>
        <v/>
      </c>
      <c r="AF10" s="36">
        <f>S4_Encoded!F10+S4_Encoded!G10+S4_Encoded!H10+S4_Encoded!J10</f>
        <v/>
      </c>
      <c r="AG10" s="37">
        <f>COUNTIF(AF$5:AF$28,"&lt;"&amp;AF10)+(COUNTIF(AF$5:AF$28,"="&amp;AF10)+1)/2</f>
        <v/>
      </c>
    </row>
    <row r="11">
      <c r="A11" s="35">
        <f>S4_Encoded!A11</f>
        <v/>
      </c>
      <c r="B11" s="35">
        <f>S4_Encoded!E11</f>
        <v/>
      </c>
      <c r="D11" s="36">
        <f>S4_Encoded!F11</f>
        <v/>
      </c>
      <c r="E11" s="37">
        <f>COUNTIF(D$5:D$28,"&lt;"&amp;D11)+(COUNTIF(D$5:D$28,"="&amp;D11)+1)/2</f>
        <v/>
      </c>
      <c r="F11" s="36">
        <f>S4_Encoded!G11</f>
        <v/>
      </c>
      <c r="G11" s="37">
        <f>COUNTIF(F$5:F$28,"&lt;"&amp;F11)+(COUNTIF(F$5:F$28,"="&amp;F11)+1)/2</f>
        <v/>
      </c>
      <c r="H11" s="36">
        <f>S4_Encoded!H11</f>
        <v/>
      </c>
      <c r="I11" s="37">
        <f>COUNTIF(H$5:H$28,"&lt;"&amp;H11)+(COUNTIF(H$5:H$28,"="&amp;H11)+1)/2</f>
        <v/>
      </c>
      <c r="J11" s="36">
        <f>S4_Encoded!J11</f>
        <v/>
      </c>
      <c r="K11" s="37">
        <f>COUNTIF(J$5:J$28,"&lt;"&amp;J11)+(COUNTIF(J$5:J$28,"="&amp;J11)+1)/2</f>
        <v/>
      </c>
      <c r="L11" s="36">
        <f>S4_Encoded!F11+S4_Encoded!G11</f>
        <v/>
      </c>
      <c r="M11" s="37">
        <f>COUNTIF(L$5:L$28,"&lt;"&amp;L11)+(COUNTIF(L$5:L$28,"="&amp;L11)+1)/2</f>
        <v/>
      </c>
      <c r="N11" s="36">
        <f>S4_Encoded!F11+S4_Encoded!H11</f>
        <v/>
      </c>
      <c r="O11" s="37">
        <f>COUNTIF(N$5:N$28,"&lt;"&amp;N11)+(COUNTIF(N$5:N$28,"="&amp;N11)+1)/2</f>
        <v/>
      </c>
      <c r="P11" s="36">
        <f>S4_Encoded!F11+S4_Encoded!J11</f>
        <v/>
      </c>
      <c r="Q11" s="37">
        <f>COUNTIF(P$5:P$28,"&lt;"&amp;P11)+(COUNTIF(P$5:P$28,"="&amp;P11)+1)/2</f>
        <v/>
      </c>
      <c r="R11" s="36">
        <f>S4_Encoded!G11+S4_Encoded!H11</f>
        <v/>
      </c>
      <c r="S11" s="37">
        <f>COUNTIF(R$5:R$28,"&lt;"&amp;R11)+(COUNTIF(R$5:R$28,"="&amp;R11)+1)/2</f>
        <v/>
      </c>
      <c r="T11" s="36">
        <f>S4_Encoded!G11+S4_Encoded!J11</f>
        <v/>
      </c>
      <c r="U11" s="37">
        <f>COUNTIF(T$5:T$28,"&lt;"&amp;T11)+(COUNTIF(T$5:T$28,"="&amp;T11)+1)/2</f>
        <v/>
      </c>
      <c r="V11" s="36">
        <f>S4_Encoded!H11+S4_Encoded!J11</f>
        <v/>
      </c>
      <c r="W11" s="37">
        <f>COUNTIF(V$5:V$28,"&lt;"&amp;V11)+(COUNTIF(V$5:V$28,"="&amp;V11)+1)/2</f>
        <v/>
      </c>
      <c r="X11" s="36">
        <f>S4_Encoded!F11+S4_Encoded!G11+S4_Encoded!H11</f>
        <v/>
      </c>
      <c r="Y11" s="37">
        <f>COUNTIF(X$5:X$28,"&lt;"&amp;X11)+(COUNTIF(X$5:X$28,"="&amp;X11)+1)/2</f>
        <v/>
      </c>
      <c r="Z11" s="36">
        <f>S4_Encoded!F11+S4_Encoded!G11+S4_Encoded!J11</f>
        <v/>
      </c>
      <c r="AA11" s="37">
        <f>COUNTIF(Z$5:Z$28,"&lt;"&amp;Z11)+(COUNTIF(Z$5:Z$28,"="&amp;Z11)+1)/2</f>
        <v/>
      </c>
      <c r="AB11" s="36">
        <f>S4_Encoded!F11+S4_Encoded!H11+S4_Encoded!J11</f>
        <v/>
      </c>
      <c r="AC11" s="37">
        <f>COUNTIF(AB$5:AB$28,"&lt;"&amp;AB11)+(COUNTIF(AB$5:AB$28,"="&amp;AB11)+1)/2</f>
        <v/>
      </c>
      <c r="AD11" s="36">
        <f>S4_Encoded!G11+S4_Encoded!H11+S4_Encoded!J11</f>
        <v/>
      </c>
      <c r="AE11" s="37">
        <f>COUNTIF(AD$5:AD$28,"&lt;"&amp;AD11)+(COUNTIF(AD$5:AD$28,"="&amp;AD11)+1)/2</f>
        <v/>
      </c>
      <c r="AF11" s="36">
        <f>S4_Encoded!F11+S4_Encoded!G11+S4_Encoded!H11+S4_Encoded!J11</f>
        <v/>
      </c>
      <c r="AG11" s="37">
        <f>COUNTIF(AF$5:AF$28,"&lt;"&amp;AF11)+(COUNTIF(AF$5:AF$28,"="&amp;AF11)+1)/2</f>
        <v/>
      </c>
    </row>
    <row r="12">
      <c r="A12" s="35">
        <f>S4_Encoded!A12</f>
        <v/>
      </c>
      <c r="B12" s="35">
        <f>S4_Encoded!E12</f>
        <v/>
      </c>
      <c r="D12" s="36">
        <f>S4_Encoded!F12</f>
        <v/>
      </c>
      <c r="E12" s="37">
        <f>COUNTIF(D$5:D$28,"&lt;"&amp;D12)+(COUNTIF(D$5:D$28,"="&amp;D12)+1)/2</f>
        <v/>
      </c>
      <c r="F12" s="36">
        <f>S4_Encoded!G12</f>
        <v/>
      </c>
      <c r="G12" s="37">
        <f>COUNTIF(F$5:F$28,"&lt;"&amp;F12)+(COUNTIF(F$5:F$28,"="&amp;F12)+1)/2</f>
        <v/>
      </c>
      <c r="H12" s="36">
        <f>S4_Encoded!H12</f>
        <v/>
      </c>
      <c r="I12" s="37">
        <f>COUNTIF(H$5:H$28,"&lt;"&amp;H12)+(COUNTIF(H$5:H$28,"="&amp;H12)+1)/2</f>
        <v/>
      </c>
      <c r="J12" s="36">
        <f>S4_Encoded!J12</f>
        <v/>
      </c>
      <c r="K12" s="37">
        <f>COUNTIF(J$5:J$28,"&lt;"&amp;J12)+(COUNTIF(J$5:J$28,"="&amp;J12)+1)/2</f>
        <v/>
      </c>
      <c r="L12" s="36">
        <f>S4_Encoded!F12+S4_Encoded!G12</f>
        <v/>
      </c>
      <c r="M12" s="37">
        <f>COUNTIF(L$5:L$28,"&lt;"&amp;L12)+(COUNTIF(L$5:L$28,"="&amp;L12)+1)/2</f>
        <v/>
      </c>
      <c r="N12" s="36">
        <f>S4_Encoded!F12+S4_Encoded!H12</f>
        <v/>
      </c>
      <c r="O12" s="37">
        <f>COUNTIF(N$5:N$28,"&lt;"&amp;N12)+(COUNTIF(N$5:N$28,"="&amp;N12)+1)/2</f>
        <v/>
      </c>
      <c r="P12" s="36">
        <f>S4_Encoded!F12+S4_Encoded!J12</f>
        <v/>
      </c>
      <c r="Q12" s="37">
        <f>COUNTIF(P$5:P$28,"&lt;"&amp;P12)+(COUNTIF(P$5:P$28,"="&amp;P12)+1)/2</f>
        <v/>
      </c>
      <c r="R12" s="36">
        <f>S4_Encoded!G12+S4_Encoded!H12</f>
        <v/>
      </c>
      <c r="S12" s="37">
        <f>COUNTIF(R$5:R$28,"&lt;"&amp;R12)+(COUNTIF(R$5:R$28,"="&amp;R12)+1)/2</f>
        <v/>
      </c>
      <c r="T12" s="36">
        <f>S4_Encoded!G12+S4_Encoded!J12</f>
        <v/>
      </c>
      <c r="U12" s="37">
        <f>COUNTIF(T$5:T$28,"&lt;"&amp;T12)+(COUNTIF(T$5:T$28,"="&amp;T12)+1)/2</f>
        <v/>
      </c>
      <c r="V12" s="36">
        <f>S4_Encoded!H12+S4_Encoded!J12</f>
        <v/>
      </c>
      <c r="W12" s="37">
        <f>COUNTIF(V$5:V$28,"&lt;"&amp;V12)+(COUNTIF(V$5:V$28,"="&amp;V12)+1)/2</f>
        <v/>
      </c>
      <c r="X12" s="36">
        <f>S4_Encoded!F12+S4_Encoded!G12+S4_Encoded!H12</f>
        <v/>
      </c>
      <c r="Y12" s="37">
        <f>COUNTIF(X$5:X$28,"&lt;"&amp;X12)+(COUNTIF(X$5:X$28,"="&amp;X12)+1)/2</f>
        <v/>
      </c>
      <c r="Z12" s="36">
        <f>S4_Encoded!F12+S4_Encoded!G12+S4_Encoded!J12</f>
        <v/>
      </c>
      <c r="AA12" s="37">
        <f>COUNTIF(Z$5:Z$28,"&lt;"&amp;Z12)+(COUNTIF(Z$5:Z$28,"="&amp;Z12)+1)/2</f>
        <v/>
      </c>
      <c r="AB12" s="36">
        <f>S4_Encoded!F12+S4_Encoded!H12+S4_Encoded!J12</f>
        <v/>
      </c>
      <c r="AC12" s="37">
        <f>COUNTIF(AB$5:AB$28,"&lt;"&amp;AB12)+(COUNTIF(AB$5:AB$28,"="&amp;AB12)+1)/2</f>
        <v/>
      </c>
      <c r="AD12" s="36">
        <f>S4_Encoded!G12+S4_Encoded!H12+S4_Encoded!J12</f>
        <v/>
      </c>
      <c r="AE12" s="37">
        <f>COUNTIF(AD$5:AD$28,"&lt;"&amp;AD12)+(COUNTIF(AD$5:AD$28,"="&amp;AD12)+1)/2</f>
        <v/>
      </c>
      <c r="AF12" s="36">
        <f>S4_Encoded!F12+S4_Encoded!G12+S4_Encoded!H12+S4_Encoded!J12</f>
        <v/>
      </c>
      <c r="AG12" s="37">
        <f>COUNTIF(AF$5:AF$28,"&lt;"&amp;AF12)+(COUNTIF(AF$5:AF$28,"="&amp;AF12)+1)/2</f>
        <v/>
      </c>
    </row>
    <row r="13">
      <c r="A13" s="35">
        <f>S4_Encoded!A13</f>
        <v/>
      </c>
      <c r="B13" s="35">
        <f>S4_Encoded!E13</f>
        <v/>
      </c>
      <c r="D13" s="36">
        <f>S4_Encoded!F13</f>
        <v/>
      </c>
      <c r="E13" s="37">
        <f>COUNTIF(D$5:D$28,"&lt;"&amp;D13)+(COUNTIF(D$5:D$28,"="&amp;D13)+1)/2</f>
        <v/>
      </c>
      <c r="F13" s="36">
        <f>S4_Encoded!G13</f>
        <v/>
      </c>
      <c r="G13" s="37">
        <f>COUNTIF(F$5:F$28,"&lt;"&amp;F13)+(COUNTIF(F$5:F$28,"="&amp;F13)+1)/2</f>
        <v/>
      </c>
      <c r="H13" s="36">
        <f>S4_Encoded!H13</f>
        <v/>
      </c>
      <c r="I13" s="37">
        <f>COUNTIF(H$5:H$28,"&lt;"&amp;H13)+(COUNTIF(H$5:H$28,"="&amp;H13)+1)/2</f>
        <v/>
      </c>
      <c r="J13" s="36">
        <f>S4_Encoded!J13</f>
        <v/>
      </c>
      <c r="K13" s="37">
        <f>COUNTIF(J$5:J$28,"&lt;"&amp;J13)+(COUNTIF(J$5:J$28,"="&amp;J13)+1)/2</f>
        <v/>
      </c>
      <c r="L13" s="36">
        <f>S4_Encoded!F13+S4_Encoded!G13</f>
        <v/>
      </c>
      <c r="M13" s="37">
        <f>COUNTIF(L$5:L$28,"&lt;"&amp;L13)+(COUNTIF(L$5:L$28,"="&amp;L13)+1)/2</f>
        <v/>
      </c>
      <c r="N13" s="36">
        <f>S4_Encoded!F13+S4_Encoded!H13</f>
        <v/>
      </c>
      <c r="O13" s="37">
        <f>COUNTIF(N$5:N$28,"&lt;"&amp;N13)+(COUNTIF(N$5:N$28,"="&amp;N13)+1)/2</f>
        <v/>
      </c>
      <c r="P13" s="36">
        <f>S4_Encoded!F13+S4_Encoded!J13</f>
        <v/>
      </c>
      <c r="Q13" s="37">
        <f>COUNTIF(P$5:P$28,"&lt;"&amp;P13)+(COUNTIF(P$5:P$28,"="&amp;P13)+1)/2</f>
        <v/>
      </c>
      <c r="R13" s="36">
        <f>S4_Encoded!G13+S4_Encoded!H13</f>
        <v/>
      </c>
      <c r="S13" s="37">
        <f>COUNTIF(R$5:R$28,"&lt;"&amp;R13)+(COUNTIF(R$5:R$28,"="&amp;R13)+1)/2</f>
        <v/>
      </c>
      <c r="T13" s="36">
        <f>S4_Encoded!G13+S4_Encoded!J13</f>
        <v/>
      </c>
      <c r="U13" s="37">
        <f>COUNTIF(T$5:T$28,"&lt;"&amp;T13)+(COUNTIF(T$5:T$28,"="&amp;T13)+1)/2</f>
        <v/>
      </c>
      <c r="V13" s="36">
        <f>S4_Encoded!H13+S4_Encoded!J13</f>
        <v/>
      </c>
      <c r="W13" s="37">
        <f>COUNTIF(V$5:V$28,"&lt;"&amp;V13)+(COUNTIF(V$5:V$28,"="&amp;V13)+1)/2</f>
        <v/>
      </c>
      <c r="X13" s="36">
        <f>S4_Encoded!F13+S4_Encoded!G13+S4_Encoded!H13</f>
        <v/>
      </c>
      <c r="Y13" s="37">
        <f>COUNTIF(X$5:X$28,"&lt;"&amp;X13)+(COUNTIF(X$5:X$28,"="&amp;X13)+1)/2</f>
        <v/>
      </c>
      <c r="Z13" s="36">
        <f>S4_Encoded!F13+S4_Encoded!G13+S4_Encoded!J13</f>
        <v/>
      </c>
      <c r="AA13" s="37">
        <f>COUNTIF(Z$5:Z$28,"&lt;"&amp;Z13)+(COUNTIF(Z$5:Z$28,"="&amp;Z13)+1)/2</f>
        <v/>
      </c>
      <c r="AB13" s="36">
        <f>S4_Encoded!F13+S4_Encoded!H13+S4_Encoded!J13</f>
        <v/>
      </c>
      <c r="AC13" s="37">
        <f>COUNTIF(AB$5:AB$28,"&lt;"&amp;AB13)+(COUNTIF(AB$5:AB$28,"="&amp;AB13)+1)/2</f>
        <v/>
      </c>
      <c r="AD13" s="36">
        <f>S4_Encoded!G13+S4_Encoded!H13+S4_Encoded!J13</f>
        <v/>
      </c>
      <c r="AE13" s="37">
        <f>COUNTIF(AD$5:AD$28,"&lt;"&amp;AD13)+(COUNTIF(AD$5:AD$28,"="&amp;AD13)+1)/2</f>
        <v/>
      </c>
      <c r="AF13" s="36">
        <f>S4_Encoded!F13+S4_Encoded!G13+S4_Encoded!H13+S4_Encoded!J13</f>
        <v/>
      </c>
      <c r="AG13" s="37">
        <f>COUNTIF(AF$5:AF$28,"&lt;"&amp;AF13)+(COUNTIF(AF$5:AF$28,"="&amp;AF13)+1)/2</f>
        <v/>
      </c>
    </row>
    <row r="14">
      <c r="A14" s="35">
        <f>S4_Encoded!A14</f>
        <v/>
      </c>
      <c r="B14" s="35">
        <f>S4_Encoded!E14</f>
        <v/>
      </c>
      <c r="D14" s="36">
        <f>S4_Encoded!F14</f>
        <v/>
      </c>
      <c r="E14" s="37">
        <f>COUNTIF(D$5:D$28,"&lt;"&amp;D14)+(COUNTIF(D$5:D$28,"="&amp;D14)+1)/2</f>
        <v/>
      </c>
      <c r="F14" s="36">
        <f>S4_Encoded!G14</f>
        <v/>
      </c>
      <c r="G14" s="37">
        <f>COUNTIF(F$5:F$28,"&lt;"&amp;F14)+(COUNTIF(F$5:F$28,"="&amp;F14)+1)/2</f>
        <v/>
      </c>
      <c r="H14" s="36">
        <f>S4_Encoded!H14</f>
        <v/>
      </c>
      <c r="I14" s="37">
        <f>COUNTIF(H$5:H$28,"&lt;"&amp;H14)+(COUNTIF(H$5:H$28,"="&amp;H14)+1)/2</f>
        <v/>
      </c>
      <c r="J14" s="36">
        <f>S4_Encoded!J14</f>
        <v/>
      </c>
      <c r="K14" s="37">
        <f>COUNTIF(J$5:J$28,"&lt;"&amp;J14)+(COUNTIF(J$5:J$28,"="&amp;J14)+1)/2</f>
        <v/>
      </c>
      <c r="L14" s="36">
        <f>S4_Encoded!F14+S4_Encoded!G14</f>
        <v/>
      </c>
      <c r="M14" s="37">
        <f>COUNTIF(L$5:L$28,"&lt;"&amp;L14)+(COUNTIF(L$5:L$28,"="&amp;L14)+1)/2</f>
        <v/>
      </c>
      <c r="N14" s="36">
        <f>S4_Encoded!F14+S4_Encoded!H14</f>
        <v/>
      </c>
      <c r="O14" s="37">
        <f>COUNTIF(N$5:N$28,"&lt;"&amp;N14)+(COUNTIF(N$5:N$28,"="&amp;N14)+1)/2</f>
        <v/>
      </c>
      <c r="P14" s="36">
        <f>S4_Encoded!F14+S4_Encoded!J14</f>
        <v/>
      </c>
      <c r="Q14" s="37">
        <f>COUNTIF(P$5:P$28,"&lt;"&amp;P14)+(COUNTIF(P$5:P$28,"="&amp;P14)+1)/2</f>
        <v/>
      </c>
      <c r="R14" s="36">
        <f>S4_Encoded!G14+S4_Encoded!H14</f>
        <v/>
      </c>
      <c r="S14" s="37">
        <f>COUNTIF(R$5:R$28,"&lt;"&amp;R14)+(COUNTIF(R$5:R$28,"="&amp;R14)+1)/2</f>
        <v/>
      </c>
      <c r="T14" s="36">
        <f>S4_Encoded!G14+S4_Encoded!J14</f>
        <v/>
      </c>
      <c r="U14" s="37">
        <f>COUNTIF(T$5:T$28,"&lt;"&amp;T14)+(COUNTIF(T$5:T$28,"="&amp;T14)+1)/2</f>
        <v/>
      </c>
      <c r="V14" s="36">
        <f>S4_Encoded!H14+S4_Encoded!J14</f>
        <v/>
      </c>
      <c r="W14" s="37">
        <f>COUNTIF(V$5:V$28,"&lt;"&amp;V14)+(COUNTIF(V$5:V$28,"="&amp;V14)+1)/2</f>
        <v/>
      </c>
      <c r="X14" s="36">
        <f>S4_Encoded!F14+S4_Encoded!G14+S4_Encoded!H14</f>
        <v/>
      </c>
      <c r="Y14" s="37">
        <f>COUNTIF(X$5:X$28,"&lt;"&amp;X14)+(COUNTIF(X$5:X$28,"="&amp;X14)+1)/2</f>
        <v/>
      </c>
      <c r="Z14" s="36">
        <f>S4_Encoded!F14+S4_Encoded!G14+S4_Encoded!J14</f>
        <v/>
      </c>
      <c r="AA14" s="37">
        <f>COUNTIF(Z$5:Z$28,"&lt;"&amp;Z14)+(COUNTIF(Z$5:Z$28,"="&amp;Z14)+1)/2</f>
        <v/>
      </c>
      <c r="AB14" s="36">
        <f>S4_Encoded!F14+S4_Encoded!H14+S4_Encoded!J14</f>
        <v/>
      </c>
      <c r="AC14" s="37">
        <f>COUNTIF(AB$5:AB$28,"&lt;"&amp;AB14)+(COUNTIF(AB$5:AB$28,"="&amp;AB14)+1)/2</f>
        <v/>
      </c>
      <c r="AD14" s="36">
        <f>S4_Encoded!G14+S4_Encoded!H14+S4_Encoded!J14</f>
        <v/>
      </c>
      <c r="AE14" s="37">
        <f>COUNTIF(AD$5:AD$28,"&lt;"&amp;AD14)+(COUNTIF(AD$5:AD$28,"="&amp;AD14)+1)/2</f>
        <v/>
      </c>
      <c r="AF14" s="36">
        <f>S4_Encoded!F14+S4_Encoded!G14+S4_Encoded!H14+S4_Encoded!J14</f>
        <v/>
      </c>
      <c r="AG14" s="37">
        <f>COUNTIF(AF$5:AF$28,"&lt;"&amp;AF14)+(COUNTIF(AF$5:AF$28,"="&amp;AF14)+1)/2</f>
        <v/>
      </c>
    </row>
    <row r="15">
      <c r="A15" s="35">
        <f>S4_Encoded!A15</f>
        <v/>
      </c>
      <c r="B15" s="35">
        <f>S4_Encoded!E15</f>
        <v/>
      </c>
      <c r="D15" s="36">
        <f>S4_Encoded!F15</f>
        <v/>
      </c>
      <c r="E15" s="37">
        <f>COUNTIF(D$5:D$28,"&lt;"&amp;D15)+(COUNTIF(D$5:D$28,"="&amp;D15)+1)/2</f>
        <v/>
      </c>
      <c r="F15" s="36">
        <f>S4_Encoded!G15</f>
        <v/>
      </c>
      <c r="G15" s="37">
        <f>COUNTIF(F$5:F$28,"&lt;"&amp;F15)+(COUNTIF(F$5:F$28,"="&amp;F15)+1)/2</f>
        <v/>
      </c>
      <c r="H15" s="36">
        <f>S4_Encoded!H15</f>
        <v/>
      </c>
      <c r="I15" s="37">
        <f>COUNTIF(H$5:H$28,"&lt;"&amp;H15)+(COUNTIF(H$5:H$28,"="&amp;H15)+1)/2</f>
        <v/>
      </c>
      <c r="J15" s="36">
        <f>S4_Encoded!J15</f>
        <v/>
      </c>
      <c r="K15" s="37">
        <f>COUNTIF(J$5:J$28,"&lt;"&amp;J15)+(COUNTIF(J$5:J$28,"="&amp;J15)+1)/2</f>
        <v/>
      </c>
      <c r="L15" s="36">
        <f>S4_Encoded!F15+S4_Encoded!G15</f>
        <v/>
      </c>
      <c r="M15" s="37">
        <f>COUNTIF(L$5:L$28,"&lt;"&amp;L15)+(COUNTIF(L$5:L$28,"="&amp;L15)+1)/2</f>
        <v/>
      </c>
      <c r="N15" s="36">
        <f>S4_Encoded!F15+S4_Encoded!H15</f>
        <v/>
      </c>
      <c r="O15" s="37">
        <f>COUNTIF(N$5:N$28,"&lt;"&amp;N15)+(COUNTIF(N$5:N$28,"="&amp;N15)+1)/2</f>
        <v/>
      </c>
      <c r="P15" s="36">
        <f>S4_Encoded!F15+S4_Encoded!J15</f>
        <v/>
      </c>
      <c r="Q15" s="37">
        <f>COUNTIF(P$5:P$28,"&lt;"&amp;P15)+(COUNTIF(P$5:P$28,"="&amp;P15)+1)/2</f>
        <v/>
      </c>
      <c r="R15" s="36">
        <f>S4_Encoded!G15+S4_Encoded!H15</f>
        <v/>
      </c>
      <c r="S15" s="37">
        <f>COUNTIF(R$5:R$28,"&lt;"&amp;R15)+(COUNTIF(R$5:R$28,"="&amp;R15)+1)/2</f>
        <v/>
      </c>
      <c r="T15" s="36">
        <f>S4_Encoded!G15+S4_Encoded!J15</f>
        <v/>
      </c>
      <c r="U15" s="37">
        <f>COUNTIF(T$5:T$28,"&lt;"&amp;T15)+(COUNTIF(T$5:T$28,"="&amp;T15)+1)/2</f>
        <v/>
      </c>
      <c r="V15" s="36">
        <f>S4_Encoded!H15+S4_Encoded!J15</f>
        <v/>
      </c>
      <c r="W15" s="37">
        <f>COUNTIF(V$5:V$28,"&lt;"&amp;V15)+(COUNTIF(V$5:V$28,"="&amp;V15)+1)/2</f>
        <v/>
      </c>
      <c r="X15" s="36">
        <f>S4_Encoded!F15+S4_Encoded!G15+S4_Encoded!H15</f>
        <v/>
      </c>
      <c r="Y15" s="37">
        <f>COUNTIF(X$5:X$28,"&lt;"&amp;X15)+(COUNTIF(X$5:X$28,"="&amp;X15)+1)/2</f>
        <v/>
      </c>
      <c r="Z15" s="36">
        <f>S4_Encoded!F15+S4_Encoded!G15+S4_Encoded!J15</f>
        <v/>
      </c>
      <c r="AA15" s="37">
        <f>COUNTIF(Z$5:Z$28,"&lt;"&amp;Z15)+(COUNTIF(Z$5:Z$28,"="&amp;Z15)+1)/2</f>
        <v/>
      </c>
      <c r="AB15" s="36">
        <f>S4_Encoded!F15+S4_Encoded!H15+S4_Encoded!J15</f>
        <v/>
      </c>
      <c r="AC15" s="37">
        <f>COUNTIF(AB$5:AB$28,"&lt;"&amp;AB15)+(COUNTIF(AB$5:AB$28,"="&amp;AB15)+1)/2</f>
        <v/>
      </c>
      <c r="AD15" s="36">
        <f>S4_Encoded!G15+S4_Encoded!H15+S4_Encoded!J15</f>
        <v/>
      </c>
      <c r="AE15" s="37">
        <f>COUNTIF(AD$5:AD$28,"&lt;"&amp;AD15)+(COUNTIF(AD$5:AD$28,"="&amp;AD15)+1)/2</f>
        <v/>
      </c>
      <c r="AF15" s="36">
        <f>S4_Encoded!F15+S4_Encoded!G15+S4_Encoded!H15+S4_Encoded!J15</f>
        <v/>
      </c>
      <c r="AG15" s="37">
        <f>COUNTIF(AF$5:AF$28,"&lt;"&amp;AF15)+(COUNTIF(AF$5:AF$28,"="&amp;AF15)+1)/2</f>
        <v/>
      </c>
    </row>
    <row r="16">
      <c r="A16" s="35">
        <f>S4_Encoded!A16</f>
        <v/>
      </c>
      <c r="B16" s="35">
        <f>S4_Encoded!E16</f>
        <v/>
      </c>
      <c r="D16" s="36">
        <f>S4_Encoded!F16</f>
        <v/>
      </c>
      <c r="E16" s="37">
        <f>COUNTIF(D$5:D$28,"&lt;"&amp;D16)+(COUNTIF(D$5:D$28,"="&amp;D16)+1)/2</f>
        <v/>
      </c>
      <c r="F16" s="36">
        <f>S4_Encoded!G16</f>
        <v/>
      </c>
      <c r="G16" s="37">
        <f>COUNTIF(F$5:F$28,"&lt;"&amp;F16)+(COUNTIF(F$5:F$28,"="&amp;F16)+1)/2</f>
        <v/>
      </c>
      <c r="H16" s="36">
        <f>S4_Encoded!H16</f>
        <v/>
      </c>
      <c r="I16" s="37">
        <f>COUNTIF(H$5:H$28,"&lt;"&amp;H16)+(COUNTIF(H$5:H$28,"="&amp;H16)+1)/2</f>
        <v/>
      </c>
      <c r="J16" s="36">
        <f>S4_Encoded!J16</f>
        <v/>
      </c>
      <c r="K16" s="37">
        <f>COUNTIF(J$5:J$28,"&lt;"&amp;J16)+(COUNTIF(J$5:J$28,"="&amp;J16)+1)/2</f>
        <v/>
      </c>
      <c r="L16" s="36">
        <f>S4_Encoded!F16+S4_Encoded!G16</f>
        <v/>
      </c>
      <c r="M16" s="37">
        <f>COUNTIF(L$5:L$28,"&lt;"&amp;L16)+(COUNTIF(L$5:L$28,"="&amp;L16)+1)/2</f>
        <v/>
      </c>
      <c r="N16" s="36">
        <f>S4_Encoded!F16+S4_Encoded!H16</f>
        <v/>
      </c>
      <c r="O16" s="37">
        <f>COUNTIF(N$5:N$28,"&lt;"&amp;N16)+(COUNTIF(N$5:N$28,"="&amp;N16)+1)/2</f>
        <v/>
      </c>
      <c r="P16" s="36">
        <f>S4_Encoded!F16+S4_Encoded!J16</f>
        <v/>
      </c>
      <c r="Q16" s="37">
        <f>COUNTIF(P$5:P$28,"&lt;"&amp;P16)+(COUNTIF(P$5:P$28,"="&amp;P16)+1)/2</f>
        <v/>
      </c>
      <c r="R16" s="36">
        <f>S4_Encoded!G16+S4_Encoded!H16</f>
        <v/>
      </c>
      <c r="S16" s="37">
        <f>COUNTIF(R$5:R$28,"&lt;"&amp;R16)+(COUNTIF(R$5:R$28,"="&amp;R16)+1)/2</f>
        <v/>
      </c>
      <c r="T16" s="36">
        <f>S4_Encoded!G16+S4_Encoded!J16</f>
        <v/>
      </c>
      <c r="U16" s="37">
        <f>COUNTIF(T$5:T$28,"&lt;"&amp;T16)+(COUNTIF(T$5:T$28,"="&amp;T16)+1)/2</f>
        <v/>
      </c>
      <c r="V16" s="36">
        <f>S4_Encoded!H16+S4_Encoded!J16</f>
        <v/>
      </c>
      <c r="W16" s="37">
        <f>COUNTIF(V$5:V$28,"&lt;"&amp;V16)+(COUNTIF(V$5:V$28,"="&amp;V16)+1)/2</f>
        <v/>
      </c>
      <c r="X16" s="36">
        <f>S4_Encoded!F16+S4_Encoded!G16+S4_Encoded!H16</f>
        <v/>
      </c>
      <c r="Y16" s="37">
        <f>COUNTIF(X$5:X$28,"&lt;"&amp;X16)+(COUNTIF(X$5:X$28,"="&amp;X16)+1)/2</f>
        <v/>
      </c>
      <c r="Z16" s="36">
        <f>S4_Encoded!F16+S4_Encoded!G16+S4_Encoded!J16</f>
        <v/>
      </c>
      <c r="AA16" s="37">
        <f>COUNTIF(Z$5:Z$28,"&lt;"&amp;Z16)+(COUNTIF(Z$5:Z$28,"="&amp;Z16)+1)/2</f>
        <v/>
      </c>
      <c r="AB16" s="36">
        <f>S4_Encoded!F16+S4_Encoded!H16+S4_Encoded!J16</f>
        <v/>
      </c>
      <c r="AC16" s="37">
        <f>COUNTIF(AB$5:AB$28,"&lt;"&amp;AB16)+(COUNTIF(AB$5:AB$28,"="&amp;AB16)+1)/2</f>
        <v/>
      </c>
      <c r="AD16" s="36">
        <f>S4_Encoded!G16+S4_Encoded!H16+S4_Encoded!J16</f>
        <v/>
      </c>
      <c r="AE16" s="37">
        <f>COUNTIF(AD$5:AD$28,"&lt;"&amp;AD16)+(COUNTIF(AD$5:AD$28,"="&amp;AD16)+1)/2</f>
        <v/>
      </c>
      <c r="AF16" s="36">
        <f>S4_Encoded!F16+S4_Encoded!G16+S4_Encoded!H16+S4_Encoded!J16</f>
        <v/>
      </c>
      <c r="AG16" s="37">
        <f>COUNTIF(AF$5:AF$28,"&lt;"&amp;AF16)+(COUNTIF(AF$5:AF$28,"="&amp;AF16)+1)/2</f>
        <v/>
      </c>
    </row>
    <row r="17">
      <c r="A17" s="35">
        <f>S4_Encoded!A17</f>
        <v/>
      </c>
      <c r="B17" s="35">
        <f>S4_Encoded!E17</f>
        <v/>
      </c>
      <c r="D17" s="36">
        <f>S4_Encoded!F17</f>
        <v/>
      </c>
      <c r="E17" s="37">
        <f>COUNTIF(D$5:D$28,"&lt;"&amp;D17)+(COUNTIF(D$5:D$28,"="&amp;D17)+1)/2</f>
        <v/>
      </c>
      <c r="F17" s="36">
        <f>S4_Encoded!G17</f>
        <v/>
      </c>
      <c r="G17" s="37">
        <f>COUNTIF(F$5:F$28,"&lt;"&amp;F17)+(COUNTIF(F$5:F$28,"="&amp;F17)+1)/2</f>
        <v/>
      </c>
      <c r="H17" s="36">
        <f>S4_Encoded!H17</f>
        <v/>
      </c>
      <c r="I17" s="37">
        <f>COUNTIF(H$5:H$28,"&lt;"&amp;H17)+(COUNTIF(H$5:H$28,"="&amp;H17)+1)/2</f>
        <v/>
      </c>
      <c r="J17" s="36">
        <f>S4_Encoded!J17</f>
        <v/>
      </c>
      <c r="K17" s="37">
        <f>COUNTIF(J$5:J$28,"&lt;"&amp;J17)+(COUNTIF(J$5:J$28,"="&amp;J17)+1)/2</f>
        <v/>
      </c>
      <c r="L17" s="36">
        <f>S4_Encoded!F17+S4_Encoded!G17</f>
        <v/>
      </c>
      <c r="M17" s="37">
        <f>COUNTIF(L$5:L$28,"&lt;"&amp;L17)+(COUNTIF(L$5:L$28,"="&amp;L17)+1)/2</f>
        <v/>
      </c>
      <c r="N17" s="36">
        <f>S4_Encoded!F17+S4_Encoded!H17</f>
        <v/>
      </c>
      <c r="O17" s="37">
        <f>COUNTIF(N$5:N$28,"&lt;"&amp;N17)+(COUNTIF(N$5:N$28,"="&amp;N17)+1)/2</f>
        <v/>
      </c>
      <c r="P17" s="36">
        <f>S4_Encoded!F17+S4_Encoded!J17</f>
        <v/>
      </c>
      <c r="Q17" s="37">
        <f>COUNTIF(P$5:P$28,"&lt;"&amp;P17)+(COUNTIF(P$5:P$28,"="&amp;P17)+1)/2</f>
        <v/>
      </c>
      <c r="R17" s="36">
        <f>S4_Encoded!G17+S4_Encoded!H17</f>
        <v/>
      </c>
      <c r="S17" s="37">
        <f>COUNTIF(R$5:R$28,"&lt;"&amp;R17)+(COUNTIF(R$5:R$28,"="&amp;R17)+1)/2</f>
        <v/>
      </c>
      <c r="T17" s="36">
        <f>S4_Encoded!G17+S4_Encoded!J17</f>
        <v/>
      </c>
      <c r="U17" s="37">
        <f>COUNTIF(T$5:T$28,"&lt;"&amp;T17)+(COUNTIF(T$5:T$28,"="&amp;T17)+1)/2</f>
        <v/>
      </c>
      <c r="V17" s="36">
        <f>S4_Encoded!H17+S4_Encoded!J17</f>
        <v/>
      </c>
      <c r="W17" s="37">
        <f>COUNTIF(V$5:V$28,"&lt;"&amp;V17)+(COUNTIF(V$5:V$28,"="&amp;V17)+1)/2</f>
        <v/>
      </c>
      <c r="X17" s="36">
        <f>S4_Encoded!F17+S4_Encoded!G17+S4_Encoded!H17</f>
        <v/>
      </c>
      <c r="Y17" s="37">
        <f>COUNTIF(X$5:X$28,"&lt;"&amp;X17)+(COUNTIF(X$5:X$28,"="&amp;X17)+1)/2</f>
        <v/>
      </c>
      <c r="Z17" s="36">
        <f>S4_Encoded!F17+S4_Encoded!G17+S4_Encoded!J17</f>
        <v/>
      </c>
      <c r="AA17" s="37">
        <f>COUNTIF(Z$5:Z$28,"&lt;"&amp;Z17)+(COUNTIF(Z$5:Z$28,"="&amp;Z17)+1)/2</f>
        <v/>
      </c>
      <c r="AB17" s="36">
        <f>S4_Encoded!F17+S4_Encoded!H17+S4_Encoded!J17</f>
        <v/>
      </c>
      <c r="AC17" s="37">
        <f>COUNTIF(AB$5:AB$28,"&lt;"&amp;AB17)+(COUNTIF(AB$5:AB$28,"="&amp;AB17)+1)/2</f>
        <v/>
      </c>
      <c r="AD17" s="36">
        <f>S4_Encoded!G17+S4_Encoded!H17+S4_Encoded!J17</f>
        <v/>
      </c>
      <c r="AE17" s="37">
        <f>COUNTIF(AD$5:AD$28,"&lt;"&amp;AD17)+(COUNTIF(AD$5:AD$28,"="&amp;AD17)+1)/2</f>
        <v/>
      </c>
      <c r="AF17" s="36">
        <f>S4_Encoded!F17+S4_Encoded!G17+S4_Encoded!H17+S4_Encoded!J17</f>
        <v/>
      </c>
      <c r="AG17" s="37">
        <f>COUNTIF(AF$5:AF$28,"&lt;"&amp;AF17)+(COUNTIF(AF$5:AF$28,"="&amp;AF17)+1)/2</f>
        <v/>
      </c>
    </row>
    <row r="18">
      <c r="A18" s="35">
        <f>S4_Encoded!A18</f>
        <v/>
      </c>
      <c r="B18" s="35">
        <f>S4_Encoded!E18</f>
        <v/>
      </c>
      <c r="D18" s="36">
        <f>S4_Encoded!F18</f>
        <v/>
      </c>
      <c r="E18" s="37">
        <f>COUNTIF(D$5:D$28,"&lt;"&amp;D18)+(COUNTIF(D$5:D$28,"="&amp;D18)+1)/2</f>
        <v/>
      </c>
      <c r="F18" s="36">
        <f>S4_Encoded!G18</f>
        <v/>
      </c>
      <c r="G18" s="37">
        <f>COUNTIF(F$5:F$28,"&lt;"&amp;F18)+(COUNTIF(F$5:F$28,"="&amp;F18)+1)/2</f>
        <v/>
      </c>
      <c r="H18" s="36">
        <f>S4_Encoded!H18</f>
        <v/>
      </c>
      <c r="I18" s="37">
        <f>COUNTIF(H$5:H$28,"&lt;"&amp;H18)+(COUNTIF(H$5:H$28,"="&amp;H18)+1)/2</f>
        <v/>
      </c>
      <c r="J18" s="36">
        <f>S4_Encoded!J18</f>
        <v/>
      </c>
      <c r="K18" s="37">
        <f>COUNTIF(J$5:J$28,"&lt;"&amp;J18)+(COUNTIF(J$5:J$28,"="&amp;J18)+1)/2</f>
        <v/>
      </c>
      <c r="L18" s="36">
        <f>S4_Encoded!F18+S4_Encoded!G18</f>
        <v/>
      </c>
      <c r="M18" s="37">
        <f>COUNTIF(L$5:L$28,"&lt;"&amp;L18)+(COUNTIF(L$5:L$28,"="&amp;L18)+1)/2</f>
        <v/>
      </c>
      <c r="N18" s="36">
        <f>S4_Encoded!F18+S4_Encoded!H18</f>
        <v/>
      </c>
      <c r="O18" s="37">
        <f>COUNTIF(N$5:N$28,"&lt;"&amp;N18)+(COUNTIF(N$5:N$28,"="&amp;N18)+1)/2</f>
        <v/>
      </c>
      <c r="P18" s="36">
        <f>S4_Encoded!F18+S4_Encoded!J18</f>
        <v/>
      </c>
      <c r="Q18" s="37">
        <f>COUNTIF(P$5:P$28,"&lt;"&amp;P18)+(COUNTIF(P$5:P$28,"="&amp;P18)+1)/2</f>
        <v/>
      </c>
      <c r="R18" s="36">
        <f>S4_Encoded!G18+S4_Encoded!H18</f>
        <v/>
      </c>
      <c r="S18" s="37">
        <f>COUNTIF(R$5:R$28,"&lt;"&amp;R18)+(COUNTIF(R$5:R$28,"="&amp;R18)+1)/2</f>
        <v/>
      </c>
      <c r="T18" s="36">
        <f>S4_Encoded!G18+S4_Encoded!J18</f>
        <v/>
      </c>
      <c r="U18" s="37">
        <f>COUNTIF(T$5:T$28,"&lt;"&amp;T18)+(COUNTIF(T$5:T$28,"="&amp;T18)+1)/2</f>
        <v/>
      </c>
      <c r="V18" s="36">
        <f>S4_Encoded!H18+S4_Encoded!J18</f>
        <v/>
      </c>
      <c r="W18" s="37">
        <f>COUNTIF(V$5:V$28,"&lt;"&amp;V18)+(COUNTIF(V$5:V$28,"="&amp;V18)+1)/2</f>
        <v/>
      </c>
      <c r="X18" s="36">
        <f>S4_Encoded!F18+S4_Encoded!G18+S4_Encoded!H18</f>
        <v/>
      </c>
      <c r="Y18" s="37">
        <f>COUNTIF(X$5:X$28,"&lt;"&amp;X18)+(COUNTIF(X$5:X$28,"="&amp;X18)+1)/2</f>
        <v/>
      </c>
      <c r="Z18" s="36">
        <f>S4_Encoded!F18+S4_Encoded!G18+S4_Encoded!J18</f>
        <v/>
      </c>
      <c r="AA18" s="37">
        <f>COUNTIF(Z$5:Z$28,"&lt;"&amp;Z18)+(COUNTIF(Z$5:Z$28,"="&amp;Z18)+1)/2</f>
        <v/>
      </c>
      <c r="AB18" s="36">
        <f>S4_Encoded!F18+S4_Encoded!H18+S4_Encoded!J18</f>
        <v/>
      </c>
      <c r="AC18" s="37">
        <f>COUNTIF(AB$5:AB$28,"&lt;"&amp;AB18)+(COUNTIF(AB$5:AB$28,"="&amp;AB18)+1)/2</f>
        <v/>
      </c>
      <c r="AD18" s="36">
        <f>S4_Encoded!G18+S4_Encoded!H18+S4_Encoded!J18</f>
        <v/>
      </c>
      <c r="AE18" s="37">
        <f>COUNTIF(AD$5:AD$28,"&lt;"&amp;AD18)+(COUNTIF(AD$5:AD$28,"="&amp;AD18)+1)/2</f>
        <v/>
      </c>
      <c r="AF18" s="36">
        <f>S4_Encoded!F18+S4_Encoded!G18+S4_Encoded!H18+S4_Encoded!J18</f>
        <v/>
      </c>
      <c r="AG18" s="37">
        <f>COUNTIF(AF$5:AF$28,"&lt;"&amp;AF18)+(COUNTIF(AF$5:AF$28,"="&amp;AF18)+1)/2</f>
        <v/>
      </c>
    </row>
    <row r="19">
      <c r="A19" s="35">
        <f>S4_Encoded!A19</f>
        <v/>
      </c>
      <c r="B19" s="35">
        <f>S4_Encoded!E19</f>
        <v/>
      </c>
      <c r="D19" s="36">
        <f>S4_Encoded!F19</f>
        <v/>
      </c>
      <c r="E19" s="37">
        <f>COUNTIF(D$5:D$28,"&lt;"&amp;D19)+(COUNTIF(D$5:D$28,"="&amp;D19)+1)/2</f>
        <v/>
      </c>
      <c r="F19" s="36">
        <f>S4_Encoded!G19</f>
        <v/>
      </c>
      <c r="G19" s="37">
        <f>COUNTIF(F$5:F$28,"&lt;"&amp;F19)+(COUNTIF(F$5:F$28,"="&amp;F19)+1)/2</f>
        <v/>
      </c>
      <c r="H19" s="36">
        <f>S4_Encoded!H19</f>
        <v/>
      </c>
      <c r="I19" s="37">
        <f>COUNTIF(H$5:H$28,"&lt;"&amp;H19)+(COUNTIF(H$5:H$28,"="&amp;H19)+1)/2</f>
        <v/>
      </c>
      <c r="J19" s="36">
        <f>S4_Encoded!J19</f>
        <v/>
      </c>
      <c r="K19" s="37">
        <f>COUNTIF(J$5:J$28,"&lt;"&amp;J19)+(COUNTIF(J$5:J$28,"="&amp;J19)+1)/2</f>
        <v/>
      </c>
      <c r="L19" s="36">
        <f>S4_Encoded!F19+S4_Encoded!G19</f>
        <v/>
      </c>
      <c r="M19" s="37">
        <f>COUNTIF(L$5:L$28,"&lt;"&amp;L19)+(COUNTIF(L$5:L$28,"="&amp;L19)+1)/2</f>
        <v/>
      </c>
      <c r="N19" s="36">
        <f>S4_Encoded!F19+S4_Encoded!H19</f>
        <v/>
      </c>
      <c r="O19" s="37">
        <f>COUNTIF(N$5:N$28,"&lt;"&amp;N19)+(COUNTIF(N$5:N$28,"="&amp;N19)+1)/2</f>
        <v/>
      </c>
      <c r="P19" s="36">
        <f>S4_Encoded!F19+S4_Encoded!J19</f>
        <v/>
      </c>
      <c r="Q19" s="37">
        <f>COUNTIF(P$5:P$28,"&lt;"&amp;P19)+(COUNTIF(P$5:P$28,"="&amp;P19)+1)/2</f>
        <v/>
      </c>
      <c r="R19" s="36">
        <f>S4_Encoded!G19+S4_Encoded!H19</f>
        <v/>
      </c>
      <c r="S19" s="37">
        <f>COUNTIF(R$5:R$28,"&lt;"&amp;R19)+(COUNTIF(R$5:R$28,"="&amp;R19)+1)/2</f>
        <v/>
      </c>
      <c r="T19" s="36">
        <f>S4_Encoded!G19+S4_Encoded!J19</f>
        <v/>
      </c>
      <c r="U19" s="37">
        <f>COUNTIF(T$5:T$28,"&lt;"&amp;T19)+(COUNTIF(T$5:T$28,"="&amp;T19)+1)/2</f>
        <v/>
      </c>
      <c r="V19" s="36">
        <f>S4_Encoded!H19+S4_Encoded!J19</f>
        <v/>
      </c>
      <c r="W19" s="37">
        <f>COUNTIF(V$5:V$28,"&lt;"&amp;V19)+(COUNTIF(V$5:V$28,"="&amp;V19)+1)/2</f>
        <v/>
      </c>
      <c r="X19" s="36">
        <f>S4_Encoded!F19+S4_Encoded!G19+S4_Encoded!H19</f>
        <v/>
      </c>
      <c r="Y19" s="37">
        <f>COUNTIF(X$5:X$28,"&lt;"&amp;X19)+(COUNTIF(X$5:X$28,"="&amp;X19)+1)/2</f>
        <v/>
      </c>
      <c r="Z19" s="36">
        <f>S4_Encoded!F19+S4_Encoded!G19+S4_Encoded!J19</f>
        <v/>
      </c>
      <c r="AA19" s="37">
        <f>COUNTIF(Z$5:Z$28,"&lt;"&amp;Z19)+(COUNTIF(Z$5:Z$28,"="&amp;Z19)+1)/2</f>
        <v/>
      </c>
      <c r="AB19" s="36">
        <f>S4_Encoded!F19+S4_Encoded!H19+S4_Encoded!J19</f>
        <v/>
      </c>
      <c r="AC19" s="37">
        <f>COUNTIF(AB$5:AB$28,"&lt;"&amp;AB19)+(COUNTIF(AB$5:AB$28,"="&amp;AB19)+1)/2</f>
        <v/>
      </c>
      <c r="AD19" s="36">
        <f>S4_Encoded!G19+S4_Encoded!H19+S4_Encoded!J19</f>
        <v/>
      </c>
      <c r="AE19" s="37">
        <f>COUNTIF(AD$5:AD$28,"&lt;"&amp;AD19)+(COUNTIF(AD$5:AD$28,"="&amp;AD19)+1)/2</f>
        <v/>
      </c>
      <c r="AF19" s="36">
        <f>S4_Encoded!F19+S4_Encoded!G19+S4_Encoded!H19+S4_Encoded!J19</f>
        <v/>
      </c>
      <c r="AG19" s="37">
        <f>COUNTIF(AF$5:AF$28,"&lt;"&amp;AF19)+(COUNTIF(AF$5:AF$28,"="&amp;AF19)+1)/2</f>
        <v/>
      </c>
    </row>
    <row r="20">
      <c r="A20" s="35">
        <f>S4_Encoded!A20</f>
        <v/>
      </c>
      <c r="B20" s="35">
        <f>S4_Encoded!E20</f>
        <v/>
      </c>
      <c r="D20" s="36">
        <f>S4_Encoded!F20</f>
        <v/>
      </c>
      <c r="E20" s="37">
        <f>COUNTIF(D$5:D$28,"&lt;"&amp;D20)+(COUNTIF(D$5:D$28,"="&amp;D20)+1)/2</f>
        <v/>
      </c>
      <c r="F20" s="36">
        <f>S4_Encoded!G20</f>
        <v/>
      </c>
      <c r="G20" s="37">
        <f>COUNTIF(F$5:F$28,"&lt;"&amp;F20)+(COUNTIF(F$5:F$28,"="&amp;F20)+1)/2</f>
        <v/>
      </c>
      <c r="H20" s="36">
        <f>S4_Encoded!H20</f>
        <v/>
      </c>
      <c r="I20" s="37">
        <f>COUNTIF(H$5:H$28,"&lt;"&amp;H20)+(COUNTIF(H$5:H$28,"="&amp;H20)+1)/2</f>
        <v/>
      </c>
      <c r="J20" s="36">
        <f>S4_Encoded!J20</f>
        <v/>
      </c>
      <c r="K20" s="37">
        <f>COUNTIF(J$5:J$28,"&lt;"&amp;J20)+(COUNTIF(J$5:J$28,"="&amp;J20)+1)/2</f>
        <v/>
      </c>
      <c r="L20" s="36">
        <f>S4_Encoded!F20+S4_Encoded!G20</f>
        <v/>
      </c>
      <c r="M20" s="37">
        <f>COUNTIF(L$5:L$28,"&lt;"&amp;L20)+(COUNTIF(L$5:L$28,"="&amp;L20)+1)/2</f>
        <v/>
      </c>
      <c r="N20" s="36">
        <f>S4_Encoded!F20+S4_Encoded!H20</f>
        <v/>
      </c>
      <c r="O20" s="37">
        <f>COUNTIF(N$5:N$28,"&lt;"&amp;N20)+(COUNTIF(N$5:N$28,"="&amp;N20)+1)/2</f>
        <v/>
      </c>
      <c r="P20" s="36">
        <f>S4_Encoded!F20+S4_Encoded!J20</f>
        <v/>
      </c>
      <c r="Q20" s="37">
        <f>COUNTIF(P$5:P$28,"&lt;"&amp;P20)+(COUNTIF(P$5:P$28,"="&amp;P20)+1)/2</f>
        <v/>
      </c>
      <c r="R20" s="36">
        <f>S4_Encoded!G20+S4_Encoded!H20</f>
        <v/>
      </c>
      <c r="S20" s="37">
        <f>COUNTIF(R$5:R$28,"&lt;"&amp;R20)+(COUNTIF(R$5:R$28,"="&amp;R20)+1)/2</f>
        <v/>
      </c>
      <c r="T20" s="36">
        <f>S4_Encoded!G20+S4_Encoded!J20</f>
        <v/>
      </c>
      <c r="U20" s="37">
        <f>COUNTIF(T$5:T$28,"&lt;"&amp;T20)+(COUNTIF(T$5:T$28,"="&amp;T20)+1)/2</f>
        <v/>
      </c>
      <c r="V20" s="36">
        <f>S4_Encoded!H20+S4_Encoded!J20</f>
        <v/>
      </c>
      <c r="W20" s="37">
        <f>COUNTIF(V$5:V$28,"&lt;"&amp;V20)+(COUNTIF(V$5:V$28,"="&amp;V20)+1)/2</f>
        <v/>
      </c>
      <c r="X20" s="36">
        <f>S4_Encoded!F20+S4_Encoded!G20+S4_Encoded!H20</f>
        <v/>
      </c>
      <c r="Y20" s="37">
        <f>COUNTIF(X$5:X$28,"&lt;"&amp;X20)+(COUNTIF(X$5:X$28,"="&amp;X20)+1)/2</f>
        <v/>
      </c>
      <c r="Z20" s="36">
        <f>S4_Encoded!F20+S4_Encoded!G20+S4_Encoded!J20</f>
        <v/>
      </c>
      <c r="AA20" s="37">
        <f>COUNTIF(Z$5:Z$28,"&lt;"&amp;Z20)+(COUNTIF(Z$5:Z$28,"="&amp;Z20)+1)/2</f>
        <v/>
      </c>
      <c r="AB20" s="36">
        <f>S4_Encoded!F20+S4_Encoded!H20+S4_Encoded!J20</f>
        <v/>
      </c>
      <c r="AC20" s="37">
        <f>COUNTIF(AB$5:AB$28,"&lt;"&amp;AB20)+(COUNTIF(AB$5:AB$28,"="&amp;AB20)+1)/2</f>
        <v/>
      </c>
      <c r="AD20" s="36">
        <f>S4_Encoded!G20+S4_Encoded!H20+S4_Encoded!J20</f>
        <v/>
      </c>
      <c r="AE20" s="37">
        <f>COUNTIF(AD$5:AD$28,"&lt;"&amp;AD20)+(COUNTIF(AD$5:AD$28,"="&amp;AD20)+1)/2</f>
        <v/>
      </c>
      <c r="AF20" s="36">
        <f>S4_Encoded!F20+S4_Encoded!G20+S4_Encoded!H20+S4_Encoded!J20</f>
        <v/>
      </c>
      <c r="AG20" s="37">
        <f>COUNTIF(AF$5:AF$28,"&lt;"&amp;AF20)+(COUNTIF(AF$5:AF$28,"="&amp;AF20)+1)/2</f>
        <v/>
      </c>
    </row>
    <row r="21">
      <c r="A21" s="35">
        <f>S4_Encoded!A21</f>
        <v/>
      </c>
      <c r="B21" s="35">
        <f>S4_Encoded!E21</f>
        <v/>
      </c>
      <c r="D21" s="36">
        <f>S4_Encoded!F21</f>
        <v/>
      </c>
      <c r="E21" s="37">
        <f>COUNTIF(D$5:D$28,"&lt;"&amp;D21)+(COUNTIF(D$5:D$28,"="&amp;D21)+1)/2</f>
        <v/>
      </c>
      <c r="F21" s="36">
        <f>S4_Encoded!G21</f>
        <v/>
      </c>
      <c r="G21" s="37">
        <f>COUNTIF(F$5:F$28,"&lt;"&amp;F21)+(COUNTIF(F$5:F$28,"="&amp;F21)+1)/2</f>
        <v/>
      </c>
      <c r="H21" s="36">
        <f>S4_Encoded!H21</f>
        <v/>
      </c>
      <c r="I21" s="37">
        <f>COUNTIF(H$5:H$28,"&lt;"&amp;H21)+(COUNTIF(H$5:H$28,"="&amp;H21)+1)/2</f>
        <v/>
      </c>
      <c r="J21" s="36">
        <f>S4_Encoded!J21</f>
        <v/>
      </c>
      <c r="K21" s="37">
        <f>COUNTIF(J$5:J$28,"&lt;"&amp;J21)+(COUNTIF(J$5:J$28,"="&amp;J21)+1)/2</f>
        <v/>
      </c>
      <c r="L21" s="36">
        <f>S4_Encoded!F21+S4_Encoded!G21</f>
        <v/>
      </c>
      <c r="M21" s="37">
        <f>COUNTIF(L$5:L$28,"&lt;"&amp;L21)+(COUNTIF(L$5:L$28,"="&amp;L21)+1)/2</f>
        <v/>
      </c>
      <c r="N21" s="36">
        <f>S4_Encoded!F21+S4_Encoded!H21</f>
        <v/>
      </c>
      <c r="O21" s="37">
        <f>COUNTIF(N$5:N$28,"&lt;"&amp;N21)+(COUNTIF(N$5:N$28,"="&amp;N21)+1)/2</f>
        <v/>
      </c>
      <c r="P21" s="36">
        <f>S4_Encoded!F21+S4_Encoded!J21</f>
        <v/>
      </c>
      <c r="Q21" s="37">
        <f>COUNTIF(P$5:P$28,"&lt;"&amp;P21)+(COUNTIF(P$5:P$28,"="&amp;P21)+1)/2</f>
        <v/>
      </c>
      <c r="R21" s="36">
        <f>S4_Encoded!G21+S4_Encoded!H21</f>
        <v/>
      </c>
      <c r="S21" s="37">
        <f>COUNTIF(R$5:R$28,"&lt;"&amp;R21)+(COUNTIF(R$5:R$28,"="&amp;R21)+1)/2</f>
        <v/>
      </c>
      <c r="T21" s="36">
        <f>S4_Encoded!G21+S4_Encoded!J21</f>
        <v/>
      </c>
      <c r="U21" s="37">
        <f>COUNTIF(T$5:T$28,"&lt;"&amp;T21)+(COUNTIF(T$5:T$28,"="&amp;T21)+1)/2</f>
        <v/>
      </c>
      <c r="V21" s="36">
        <f>S4_Encoded!H21+S4_Encoded!J21</f>
        <v/>
      </c>
      <c r="W21" s="37">
        <f>COUNTIF(V$5:V$28,"&lt;"&amp;V21)+(COUNTIF(V$5:V$28,"="&amp;V21)+1)/2</f>
        <v/>
      </c>
      <c r="X21" s="36">
        <f>S4_Encoded!F21+S4_Encoded!G21+S4_Encoded!H21</f>
        <v/>
      </c>
      <c r="Y21" s="37">
        <f>COUNTIF(X$5:X$28,"&lt;"&amp;X21)+(COUNTIF(X$5:X$28,"="&amp;X21)+1)/2</f>
        <v/>
      </c>
      <c r="Z21" s="36">
        <f>S4_Encoded!F21+S4_Encoded!G21+S4_Encoded!J21</f>
        <v/>
      </c>
      <c r="AA21" s="37">
        <f>COUNTIF(Z$5:Z$28,"&lt;"&amp;Z21)+(COUNTIF(Z$5:Z$28,"="&amp;Z21)+1)/2</f>
        <v/>
      </c>
      <c r="AB21" s="36">
        <f>S4_Encoded!F21+S4_Encoded!H21+S4_Encoded!J21</f>
        <v/>
      </c>
      <c r="AC21" s="37">
        <f>COUNTIF(AB$5:AB$28,"&lt;"&amp;AB21)+(COUNTIF(AB$5:AB$28,"="&amp;AB21)+1)/2</f>
        <v/>
      </c>
      <c r="AD21" s="36">
        <f>S4_Encoded!G21+S4_Encoded!H21+S4_Encoded!J21</f>
        <v/>
      </c>
      <c r="AE21" s="37">
        <f>COUNTIF(AD$5:AD$28,"&lt;"&amp;AD21)+(COUNTIF(AD$5:AD$28,"="&amp;AD21)+1)/2</f>
        <v/>
      </c>
      <c r="AF21" s="36">
        <f>S4_Encoded!F21+S4_Encoded!G21+S4_Encoded!H21+S4_Encoded!J21</f>
        <v/>
      </c>
      <c r="AG21" s="37">
        <f>COUNTIF(AF$5:AF$28,"&lt;"&amp;AF21)+(COUNTIF(AF$5:AF$28,"="&amp;AF21)+1)/2</f>
        <v/>
      </c>
    </row>
    <row r="22">
      <c r="A22" s="35">
        <f>S4_Encoded!A22</f>
        <v/>
      </c>
      <c r="B22" s="35">
        <f>S4_Encoded!E22</f>
        <v/>
      </c>
      <c r="D22" s="36">
        <f>S4_Encoded!F22</f>
        <v/>
      </c>
      <c r="E22" s="37">
        <f>COUNTIF(D$5:D$28,"&lt;"&amp;D22)+(COUNTIF(D$5:D$28,"="&amp;D22)+1)/2</f>
        <v/>
      </c>
      <c r="F22" s="36">
        <f>S4_Encoded!G22</f>
        <v/>
      </c>
      <c r="G22" s="37">
        <f>COUNTIF(F$5:F$28,"&lt;"&amp;F22)+(COUNTIF(F$5:F$28,"="&amp;F22)+1)/2</f>
        <v/>
      </c>
      <c r="H22" s="36">
        <f>S4_Encoded!H22</f>
        <v/>
      </c>
      <c r="I22" s="37">
        <f>COUNTIF(H$5:H$28,"&lt;"&amp;H22)+(COUNTIF(H$5:H$28,"="&amp;H22)+1)/2</f>
        <v/>
      </c>
      <c r="J22" s="36">
        <f>S4_Encoded!J22</f>
        <v/>
      </c>
      <c r="K22" s="37">
        <f>COUNTIF(J$5:J$28,"&lt;"&amp;J22)+(COUNTIF(J$5:J$28,"="&amp;J22)+1)/2</f>
        <v/>
      </c>
      <c r="L22" s="36">
        <f>S4_Encoded!F22+S4_Encoded!G22</f>
        <v/>
      </c>
      <c r="M22" s="37">
        <f>COUNTIF(L$5:L$28,"&lt;"&amp;L22)+(COUNTIF(L$5:L$28,"="&amp;L22)+1)/2</f>
        <v/>
      </c>
      <c r="N22" s="36">
        <f>S4_Encoded!F22+S4_Encoded!H22</f>
        <v/>
      </c>
      <c r="O22" s="37">
        <f>COUNTIF(N$5:N$28,"&lt;"&amp;N22)+(COUNTIF(N$5:N$28,"="&amp;N22)+1)/2</f>
        <v/>
      </c>
      <c r="P22" s="36">
        <f>S4_Encoded!F22+S4_Encoded!J22</f>
        <v/>
      </c>
      <c r="Q22" s="37">
        <f>COUNTIF(P$5:P$28,"&lt;"&amp;P22)+(COUNTIF(P$5:P$28,"="&amp;P22)+1)/2</f>
        <v/>
      </c>
      <c r="R22" s="36">
        <f>S4_Encoded!G22+S4_Encoded!H22</f>
        <v/>
      </c>
      <c r="S22" s="37">
        <f>COUNTIF(R$5:R$28,"&lt;"&amp;R22)+(COUNTIF(R$5:R$28,"="&amp;R22)+1)/2</f>
        <v/>
      </c>
      <c r="T22" s="36">
        <f>S4_Encoded!G22+S4_Encoded!J22</f>
        <v/>
      </c>
      <c r="U22" s="37">
        <f>COUNTIF(T$5:T$28,"&lt;"&amp;T22)+(COUNTIF(T$5:T$28,"="&amp;T22)+1)/2</f>
        <v/>
      </c>
      <c r="V22" s="36">
        <f>S4_Encoded!H22+S4_Encoded!J22</f>
        <v/>
      </c>
      <c r="W22" s="37">
        <f>COUNTIF(V$5:V$28,"&lt;"&amp;V22)+(COUNTIF(V$5:V$28,"="&amp;V22)+1)/2</f>
        <v/>
      </c>
      <c r="X22" s="36">
        <f>S4_Encoded!F22+S4_Encoded!G22+S4_Encoded!H22</f>
        <v/>
      </c>
      <c r="Y22" s="37">
        <f>COUNTIF(X$5:X$28,"&lt;"&amp;X22)+(COUNTIF(X$5:X$28,"="&amp;X22)+1)/2</f>
        <v/>
      </c>
      <c r="Z22" s="36">
        <f>S4_Encoded!F22+S4_Encoded!G22+S4_Encoded!J22</f>
        <v/>
      </c>
      <c r="AA22" s="37">
        <f>COUNTIF(Z$5:Z$28,"&lt;"&amp;Z22)+(COUNTIF(Z$5:Z$28,"="&amp;Z22)+1)/2</f>
        <v/>
      </c>
      <c r="AB22" s="36">
        <f>S4_Encoded!F22+S4_Encoded!H22+S4_Encoded!J22</f>
        <v/>
      </c>
      <c r="AC22" s="37">
        <f>COUNTIF(AB$5:AB$28,"&lt;"&amp;AB22)+(COUNTIF(AB$5:AB$28,"="&amp;AB22)+1)/2</f>
        <v/>
      </c>
      <c r="AD22" s="36">
        <f>S4_Encoded!G22+S4_Encoded!H22+S4_Encoded!J22</f>
        <v/>
      </c>
      <c r="AE22" s="37">
        <f>COUNTIF(AD$5:AD$28,"&lt;"&amp;AD22)+(COUNTIF(AD$5:AD$28,"="&amp;AD22)+1)/2</f>
        <v/>
      </c>
      <c r="AF22" s="36">
        <f>S4_Encoded!F22+S4_Encoded!G22+S4_Encoded!H22+S4_Encoded!J22</f>
        <v/>
      </c>
      <c r="AG22" s="37">
        <f>COUNTIF(AF$5:AF$28,"&lt;"&amp;AF22)+(COUNTIF(AF$5:AF$28,"="&amp;AF22)+1)/2</f>
        <v/>
      </c>
    </row>
    <row r="23">
      <c r="A23" s="35">
        <f>S4_Encoded!A23</f>
        <v/>
      </c>
      <c r="B23" s="35">
        <f>S4_Encoded!E23</f>
        <v/>
      </c>
      <c r="D23" s="36">
        <f>S4_Encoded!F23</f>
        <v/>
      </c>
      <c r="E23" s="37">
        <f>COUNTIF(D$5:D$28,"&lt;"&amp;D23)+(COUNTIF(D$5:D$28,"="&amp;D23)+1)/2</f>
        <v/>
      </c>
      <c r="F23" s="36">
        <f>S4_Encoded!G23</f>
        <v/>
      </c>
      <c r="G23" s="37">
        <f>COUNTIF(F$5:F$28,"&lt;"&amp;F23)+(COUNTIF(F$5:F$28,"="&amp;F23)+1)/2</f>
        <v/>
      </c>
      <c r="H23" s="36">
        <f>S4_Encoded!H23</f>
        <v/>
      </c>
      <c r="I23" s="37">
        <f>COUNTIF(H$5:H$28,"&lt;"&amp;H23)+(COUNTIF(H$5:H$28,"="&amp;H23)+1)/2</f>
        <v/>
      </c>
      <c r="J23" s="36">
        <f>S4_Encoded!J23</f>
        <v/>
      </c>
      <c r="K23" s="37">
        <f>COUNTIF(J$5:J$28,"&lt;"&amp;J23)+(COUNTIF(J$5:J$28,"="&amp;J23)+1)/2</f>
        <v/>
      </c>
      <c r="L23" s="36">
        <f>S4_Encoded!F23+S4_Encoded!G23</f>
        <v/>
      </c>
      <c r="M23" s="37">
        <f>COUNTIF(L$5:L$28,"&lt;"&amp;L23)+(COUNTIF(L$5:L$28,"="&amp;L23)+1)/2</f>
        <v/>
      </c>
      <c r="N23" s="36">
        <f>S4_Encoded!F23+S4_Encoded!H23</f>
        <v/>
      </c>
      <c r="O23" s="37">
        <f>COUNTIF(N$5:N$28,"&lt;"&amp;N23)+(COUNTIF(N$5:N$28,"="&amp;N23)+1)/2</f>
        <v/>
      </c>
      <c r="P23" s="36">
        <f>S4_Encoded!F23+S4_Encoded!J23</f>
        <v/>
      </c>
      <c r="Q23" s="37">
        <f>COUNTIF(P$5:P$28,"&lt;"&amp;P23)+(COUNTIF(P$5:P$28,"="&amp;P23)+1)/2</f>
        <v/>
      </c>
      <c r="R23" s="36">
        <f>S4_Encoded!G23+S4_Encoded!H23</f>
        <v/>
      </c>
      <c r="S23" s="37">
        <f>COUNTIF(R$5:R$28,"&lt;"&amp;R23)+(COUNTIF(R$5:R$28,"="&amp;R23)+1)/2</f>
        <v/>
      </c>
      <c r="T23" s="36">
        <f>S4_Encoded!G23+S4_Encoded!J23</f>
        <v/>
      </c>
      <c r="U23" s="37">
        <f>COUNTIF(T$5:T$28,"&lt;"&amp;T23)+(COUNTIF(T$5:T$28,"="&amp;T23)+1)/2</f>
        <v/>
      </c>
      <c r="V23" s="36">
        <f>S4_Encoded!H23+S4_Encoded!J23</f>
        <v/>
      </c>
      <c r="W23" s="37">
        <f>COUNTIF(V$5:V$28,"&lt;"&amp;V23)+(COUNTIF(V$5:V$28,"="&amp;V23)+1)/2</f>
        <v/>
      </c>
      <c r="X23" s="36">
        <f>S4_Encoded!F23+S4_Encoded!G23+S4_Encoded!H23</f>
        <v/>
      </c>
      <c r="Y23" s="37">
        <f>COUNTIF(X$5:X$28,"&lt;"&amp;X23)+(COUNTIF(X$5:X$28,"="&amp;X23)+1)/2</f>
        <v/>
      </c>
      <c r="Z23" s="36">
        <f>S4_Encoded!F23+S4_Encoded!G23+S4_Encoded!J23</f>
        <v/>
      </c>
      <c r="AA23" s="37">
        <f>COUNTIF(Z$5:Z$28,"&lt;"&amp;Z23)+(COUNTIF(Z$5:Z$28,"="&amp;Z23)+1)/2</f>
        <v/>
      </c>
      <c r="AB23" s="36">
        <f>S4_Encoded!F23+S4_Encoded!H23+S4_Encoded!J23</f>
        <v/>
      </c>
      <c r="AC23" s="37">
        <f>COUNTIF(AB$5:AB$28,"&lt;"&amp;AB23)+(COUNTIF(AB$5:AB$28,"="&amp;AB23)+1)/2</f>
        <v/>
      </c>
      <c r="AD23" s="36">
        <f>S4_Encoded!G23+S4_Encoded!H23+S4_Encoded!J23</f>
        <v/>
      </c>
      <c r="AE23" s="37">
        <f>COUNTIF(AD$5:AD$28,"&lt;"&amp;AD23)+(COUNTIF(AD$5:AD$28,"="&amp;AD23)+1)/2</f>
        <v/>
      </c>
      <c r="AF23" s="36">
        <f>S4_Encoded!F23+S4_Encoded!G23+S4_Encoded!H23+S4_Encoded!J23</f>
        <v/>
      </c>
      <c r="AG23" s="37">
        <f>COUNTIF(AF$5:AF$28,"&lt;"&amp;AF23)+(COUNTIF(AF$5:AF$28,"="&amp;AF23)+1)/2</f>
        <v/>
      </c>
    </row>
    <row r="24">
      <c r="A24" s="35">
        <f>S4_Encoded!A24</f>
        <v/>
      </c>
      <c r="B24" s="35">
        <f>S4_Encoded!E24</f>
        <v/>
      </c>
      <c r="D24" s="36">
        <f>S4_Encoded!F24</f>
        <v/>
      </c>
      <c r="E24" s="37">
        <f>COUNTIF(D$5:D$28,"&lt;"&amp;D24)+(COUNTIF(D$5:D$28,"="&amp;D24)+1)/2</f>
        <v/>
      </c>
      <c r="F24" s="36">
        <f>S4_Encoded!G24</f>
        <v/>
      </c>
      <c r="G24" s="37">
        <f>COUNTIF(F$5:F$28,"&lt;"&amp;F24)+(COUNTIF(F$5:F$28,"="&amp;F24)+1)/2</f>
        <v/>
      </c>
      <c r="H24" s="36">
        <f>S4_Encoded!H24</f>
        <v/>
      </c>
      <c r="I24" s="37">
        <f>COUNTIF(H$5:H$28,"&lt;"&amp;H24)+(COUNTIF(H$5:H$28,"="&amp;H24)+1)/2</f>
        <v/>
      </c>
      <c r="J24" s="36">
        <f>S4_Encoded!J24</f>
        <v/>
      </c>
      <c r="K24" s="37">
        <f>COUNTIF(J$5:J$28,"&lt;"&amp;J24)+(COUNTIF(J$5:J$28,"="&amp;J24)+1)/2</f>
        <v/>
      </c>
      <c r="L24" s="36">
        <f>S4_Encoded!F24+S4_Encoded!G24</f>
        <v/>
      </c>
      <c r="M24" s="37">
        <f>COUNTIF(L$5:L$28,"&lt;"&amp;L24)+(COUNTIF(L$5:L$28,"="&amp;L24)+1)/2</f>
        <v/>
      </c>
      <c r="N24" s="36">
        <f>S4_Encoded!F24+S4_Encoded!H24</f>
        <v/>
      </c>
      <c r="O24" s="37">
        <f>COUNTIF(N$5:N$28,"&lt;"&amp;N24)+(COUNTIF(N$5:N$28,"="&amp;N24)+1)/2</f>
        <v/>
      </c>
      <c r="P24" s="36">
        <f>S4_Encoded!F24+S4_Encoded!J24</f>
        <v/>
      </c>
      <c r="Q24" s="37">
        <f>COUNTIF(P$5:P$28,"&lt;"&amp;P24)+(COUNTIF(P$5:P$28,"="&amp;P24)+1)/2</f>
        <v/>
      </c>
      <c r="R24" s="36">
        <f>S4_Encoded!G24+S4_Encoded!H24</f>
        <v/>
      </c>
      <c r="S24" s="37">
        <f>COUNTIF(R$5:R$28,"&lt;"&amp;R24)+(COUNTIF(R$5:R$28,"="&amp;R24)+1)/2</f>
        <v/>
      </c>
      <c r="T24" s="36">
        <f>S4_Encoded!G24+S4_Encoded!J24</f>
        <v/>
      </c>
      <c r="U24" s="37">
        <f>COUNTIF(T$5:T$28,"&lt;"&amp;T24)+(COUNTIF(T$5:T$28,"="&amp;T24)+1)/2</f>
        <v/>
      </c>
      <c r="V24" s="36">
        <f>S4_Encoded!H24+S4_Encoded!J24</f>
        <v/>
      </c>
      <c r="W24" s="37">
        <f>COUNTIF(V$5:V$28,"&lt;"&amp;V24)+(COUNTIF(V$5:V$28,"="&amp;V24)+1)/2</f>
        <v/>
      </c>
      <c r="X24" s="36">
        <f>S4_Encoded!F24+S4_Encoded!G24+S4_Encoded!H24</f>
        <v/>
      </c>
      <c r="Y24" s="37">
        <f>COUNTIF(X$5:X$28,"&lt;"&amp;X24)+(COUNTIF(X$5:X$28,"="&amp;X24)+1)/2</f>
        <v/>
      </c>
      <c r="Z24" s="36">
        <f>S4_Encoded!F24+S4_Encoded!G24+S4_Encoded!J24</f>
        <v/>
      </c>
      <c r="AA24" s="37">
        <f>COUNTIF(Z$5:Z$28,"&lt;"&amp;Z24)+(COUNTIF(Z$5:Z$28,"="&amp;Z24)+1)/2</f>
        <v/>
      </c>
      <c r="AB24" s="36">
        <f>S4_Encoded!F24+S4_Encoded!H24+S4_Encoded!J24</f>
        <v/>
      </c>
      <c r="AC24" s="37">
        <f>COUNTIF(AB$5:AB$28,"&lt;"&amp;AB24)+(COUNTIF(AB$5:AB$28,"="&amp;AB24)+1)/2</f>
        <v/>
      </c>
      <c r="AD24" s="36">
        <f>S4_Encoded!G24+S4_Encoded!H24+S4_Encoded!J24</f>
        <v/>
      </c>
      <c r="AE24" s="37">
        <f>COUNTIF(AD$5:AD$28,"&lt;"&amp;AD24)+(COUNTIF(AD$5:AD$28,"="&amp;AD24)+1)/2</f>
        <v/>
      </c>
      <c r="AF24" s="36">
        <f>S4_Encoded!F24+S4_Encoded!G24+S4_Encoded!H24+S4_Encoded!J24</f>
        <v/>
      </c>
      <c r="AG24" s="37">
        <f>COUNTIF(AF$5:AF$28,"&lt;"&amp;AF24)+(COUNTIF(AF$5:AF$28,"="&amp;AF24)+1)/2</f>
        <v/>
      </c>
    </row>
    <row r="25">
      <c r="A25" s="35">
        <f>S4_Encoded!A25</f>
        <v/>
      </c>
      <c r="B25" s="35">
        <f>S4_Encoded!E25</f>
        <v/>
      </c>
      <c r="D25" s="36">
        <f>S4_Encoded!F25</f>
        <v/>
      </c>
      <c r="E25" s="37">
        <f>COUNTIF(D$5:D$28,"&lt;"&amp;D25)+(COUNTIF(D$5:D$28,"="&amp;D25)+1)/2</f>
        <v/>
      </c>
      <c r="F25" s="36">
        <f>S4_Encoded!G25</f>
        <v/>
      </c>
      <c r="G25" s="37">
        <f>COUNTIF(F$5:F$28,"&lt;"&amp;F25)+(COUNTIF(F$5:F$28,"="&amp;F25)+1)/2</f>
        <v/>
      </c>
      <c r="H25" s="36">
        <f>S4_Encoded!H25</f>
        <v/>
      </c>
      <c r="I25" s="37">
        <f>COUNTIF(H$5:H$28,"&lt;"&amp;H25)+(COUNTIF(H$5:H$28,"="&amp;H25)+1)/2</f>
        <v/>
      </c>
      <c r="J25" s="36">
        <f>S4_Encoded!J25</f>
        <v/>
      </c>
      <c r="K25" s="37">
        <f>COUNTIF(J$5:J$28,"&lt;"&amp;J25)+(COUNTIF(J$5:J$28,"="&amp;J25)+1)/2</f>
        <v/>
      </c>
      <c r="L25" s="36">
        <f>S4_Encoded!F25+S4_Encoded!G25</f>
        <v/>
      </c>
      <c r="M25" s="37">
        <f>COUNTIF(L$5:L$28,"&lt;"&amp;L25)+(COUNTIF(L$5:L$28,"="&amp;L25)+1)/2</f>
        <v/>
      </c>
      <c r="N25" s="36">
        <f>S4_Encoded!F25+S4_Encoded!H25</f>
        <v/>
      </c>
      <c r="O25" s="37">
        <f>COUNTIF(N$5:N$28,"&lt;"&amp;N25)+(COUNTIF(N$5:N$28,"="&amp;N25)+1)/2</f>
        <v/>
      </c>
      <c r="P25" s="36">
        <f>S4_Encoded!F25+S4_Encoded!J25</f>
        <v/>
      </c>
      <c r="Q25" s="37">
        <f>COUNTIF(P$5:P$28,"&lt;"&amp;P25)+(COUNTIF(P$5:P$28,"="&amp;P25)+1)/2</f>
        <v/>
      </c>
      <c r="R25" s="36">
        <f>S4_Encoded!G25+S4_Encoded!H25</f>
        <v/>
      </c>
      <c r="S25" s="37">
        <f>COUNTIF(R$5:R$28,"&lt;"&amp;R25)+(COUNTIF(R$5:R$28,"="&amp;R25)+1)/2</f>
        <v/>
      </c>
      <c r="T25" s="36">
        <f>S4_Encoded!G25+S4_Encoded!J25</f>
        <v/>
      </c>
      <c r="U25" s="37">
        <f>COUNTIF(T$5:T$28,"&lt;"&amp;T25)+(COUNTIF(T$5:T$28,"="&amp;T25)+1)/2</f>
        <v/>
      </c>
      <c r="V25" s="36">
        <f>S4_Encoded!H25+S4_Encoded!J25</f>
        <v/>
      </c>
      <c r="W25" s="37">
        <f>COUNTIF(V$5:V$28,"&lt;"&amp;V25)+(COUNTIF(V$5:V$28,"="&amp;V25)+1)/2</f>
        <v/>
      </c>
      <c r="X25" s="36">
        <f>S4_Encoded!F25+S4_Encoded!G25+S4_Encoded!H25</f>
        <v/>
      </c>
      <c r="Y25" s="37">
        <f>COUNTIF(X$5:X$28,"&lt;"&amp;X25)+(COUNTIF(X$5:X$28,"="&amp;X25)+1)/2</f>
        <v/>
      </c>
      <c r="Z25" s="36">
        <f>S4_Encoded!F25+S4_Encoded!G25+S4_Encoded!J25</f>
        <v/>
      </c>
      <c r="AA25" s="37">
        <f>COUNTIF(Z$5:Z$28,"&lt;"&amp;Z25)+(COUNTIF(Z$5:Z$28,"="&amp;Z25)+1)/2</f>
        <v/>
      </c>
      <c r="AB25" s="36">
        <f>S4_Encoded!F25+S4_Encoded!H25+S4_Encoded!J25</f>
        <v/>
      </c>
      <c r="AC25" s="37">
        <f>COUNTIF(AB$5:AB$28,"&lt;"&amp;AB25)+(COUNTIF(AB$5:AB$28,"="&amp;AB25)+1)/2</f>
        <v/>
      </c>
      <c r="AD25" s="36">
        <f>S4_Encoded!G25+S4_Encoded!H25+S4_Encoded!J25</f>
        <v/>
      </c>
      <c r="AE25" s="37">
        <f>COUNTIF(AD$5:AD$28,"&lt;"&amp;AD25)+(COUNTIF(AD$5:AD$28,"="&amp;AD25)+1)/2</f>
        <v/>
      </c>
      <c r="AF25" s="36">
        <f>S4_Encoded!F25+S4_Encoded!G25+S4_Encoded!H25+S4_Encoded!J25</f>
        <v/>
      </c>
      <c r="AG25" s="37">
        <f>COUNTIF(AF$5:AF$28,"&lt;"&amp;AF25)+(COUNTIF(AF$5:AF$28,"="&amp;AF25)+1)/2</f>
        <v/>
      </c>
    </row>
    <row r="26">
      <c r="A26" s="35">
        <f>S4_Encoded!A26</f>
        <v/>
      </c>
      <c r="B26" s="35">
        <f>S4_Encoded!E26</f>
        <v/>
      </c>
      <c r="D26" s="36">
        <f>S4_Encoded!F26</f>
        <v/>
      </c>
      <c r="E26" s="37">
        <f>COUNTIF(D$5:D$28,"&lt;"&amp;D26)+(COUNTIF(D$5:D$28,"="&amp;D26)+1)/2</f>
        <v/>
      </c>
      <c r="F26" s="36">
        <f>S4_Encoded!G26</f>
        <v/>
      </c>
      <c r="G26" s="37">
        <f>COUNTIF(F$5:F$28,"&lt;"&amp;F26)+(COUNTIF(F$5:F$28,"="&amp;F26)+1)/2</f>
        <v/>
      </c>
      <c r="H26" s="36">
        <f>S4_Encoded!H26</f>
        <v/>
      </c>
      <c r="I26" s="37">
        <f>COUNTIF(H$5:H$28,"&lt;"&amp;H26)+(COUNTIF(H$5:H$28,"="&amp;H26)+1)/2</f>
        <v/>
      </c>
      <c r="J26" s="36">
        <f>S4_Encoded!J26</f>
        <v/>
      </c>
      <c r="K26" s="37">
        <f>COUNTIF(J$5:J$28,"&lt;"&amp;J26)+(COUNTIF(J$5:J$28,"="&amp;J26)+1)/2</f>
        <v/>
      </c>
      <c r="L26" s="36">
        <f>S4_Encoded!F26+S4_Encoded!G26</f>
        <v/>
      </c>
      <c r="M26" s="37">
        <f>COUNTIF(L$5:L$28,"&lt;"&amp;L26)+(COUNTIF(L$5:L$28,"="&amp;L26)+1)/2</f>
        <v/>
      </c>
      <c r="N26" s="36">
        <f>S4_Encoded!F26+S4_Encoded!H26</f>
        <v/>
      </c>
      <c r="O26" s="37">
        <f>COUNTIF(N$5:N$28,"&lt;"&amp;N26)+(COUNTIF(N$5:N$28,"="&amp;N26)+1)/2</f>
        <v/>
      </c>
      <c r="P26" s="36">
        <f>S4_Encoded!F26+S4_Encoded!J26</f>
        <v/>
      </c>
      <c r="Q26" s="37">
        <f>COUNTIF(P$5:P$28,"&lt;"&amp;P26)+(COUNTIF(P$5:P$28,"="&amp;P26)+1)/2</f>
        <v/>
      </c>
      <c r="R26" s="36">
        <f>S4_Encoded!G26+S4_Encoded!H26</f>
        <v/>
      </c>
      <c r="S26" s="37">
        <f>COUNTIF(R$5:R$28,"&lt;"&amp;R26)+(COUNTIF(R$5:R$28,"="&amp;R26)+1)/2</f>
        <v/>
      </c>
      <c r="T26" s="36">
        <f>S4_Encoded!G26+S4_Encoded!J26</f>
        <v/>
      </c>
      <c r="U26" s="37">
        <f>COUNTIF(T$5:T$28,"&lt;"&amp;T26)+(COUNTIF(T$5:T$28,"="&amp;T26)+1)/2</f>
        <v/>
      </c>
      <c r="V26" s="36">
        <f>S4_Encoded!H26+S4_Encoded!J26</f>
        <v/>
      </c>
      <c r="W26" s="37">
        <f>COUNTIF(V$5:V$28,"&lt;"&amp;V26)+(COUNTIF(V$5:V$28,"="&amp;V26)+1)/2</f>
        <v/>
      </c>
      <c r="X26" s="36">
        <f>S4_Encoded!F26+S4_Encoded!G26+S4_Encoded!H26</f>
        <v/>
      </c>
      <c r="Y26" s="37">
        <f>COUNTIF(X$5:X$28,"&lt;"&amp;X26)+(COUNTIF(X$5:X$28,"="&amp;X26)+1)/2</f>
        <v/>
      </c>
      <c r="Z26" s="36">
        <f>S4_Encoded!F26+S4_Encoded!G26+S4_Encoded!J26</f>
        <v/>
      </c>
      <c r="AA26" s="37">
        <f>COUNTIF(Z$5:Z$28,"&lt;"&amp;Z26)+(COUNTIF(Z$5:Z$28,"="&amp;Z26)+1)/2</f>
        <v/>
      </c>
      <c r="AB26" s="36">
        <f>S4_Encoded!F26+S4_Encoded!H26+S4_Encoded!J26</f>
        <v/>
      </c>
      <c r="AC26" s="37">
        <f>COUNTIF(AB$5:AB$28,"&lt;"&amp;AB26)+(COUNTIF(AB$5:AB$28,"="&amp;AB26)+1)/2</f>
        <v/>
      </c>
      <c r="AD26" s="36">
        <f>S4_Encoded!G26+S4_Encoded!H26+S4_Encoded!J26</f>
        <v/>
      </c>
      <c r="AE26" s="37">
        <f>COUNTIF(AD$5:AD$28,"&lt;"&amp;AD26)+(COUNTIF(AD$5:AD$28,"="&amp;AD26)+1)/2</f>
        <v/>
      </c>
      <c r="AF26" s="36">
        <f>S4_Encoded!F26+S4_Encoded!G26+S4_Encoded!H26+S4_Encoded!J26</f>
        <v/>
      </c>
      <c r="AG26" s="37">
        <f>COUNTIF(AF$5:AF$28,"&lt;"&amp;AF26)+(COUNTIF(AF$5:AF$28,"="&amp;AF26)+1)/2</f>
        <v/>
      </c>
    </row>
    <row r="27">
      <c r="A27" s="35">
        <f>S4_Encoded!A27</f>
        <v/>
      </c>
      <c r="B27" s="35">
        <f>S4_Encoded!E27</f>
        <v/>
      </c>
      <c r="D27" s="36">
        <f>S4_Encoded!F27</f>
        <v/>
      </c>
      <c r="E27" s="37">
        <f>COUNTIF(D$5:D$28,"&lt;"&amp;D27)+(COUNTIF(D$5:D$28,"="&amp;D27)+1)/2</f>
        <v/>
      </c>
      <c r="F27" s="36">
        <f>S4_Encoded!G27</f>
        <v/>
      </c>
      <c r="G27" s="37">
        <f>COUNTIF(F$5:F$28,"&lt;"&amp;F27)+(COUNTIF(F$5:F$28,"="&amp;F27)+1)/2</f>
        <v/>
      </c>
      <c r="H27" s="36">
        <f>S4_Encoded!H27</f>
        <v/>
      </c>
      <c r="I27" s="37">
        <f>COUNTIF(H$5:H$28,"&lt;"&amp;H27)+(COUNTIF(H$5:H$28,"="&amp;H27)+1)/2</f>
        <v/>
      </c>
      <c r="J27" s="36">
        <f>S4_Encoded!J27</f>
        <v/>
      </c>
      <c r="K27" s="37">
        <f>COUNTIF(J$5:J$28,"&lt;"&amp;J27)+(COUNTIF(J$5:J$28,"="&amp;J27)+1)/2</f>
        <v/>
      </c>
      <c r="L27" s="36">
        <f>S4_Encoded!F27+S4_Encoded!G27</f>
        <v/>
      </c>
      <c r="M27" s="37">
        <f>COUNTIF(L$5:L$28,"&lt;"&amp;L27)+(COUNTIF(L$5:L$28,"="&amp;L27)+1)/2</f>
        <v/>
      </c>
      <c r="N27" s="36">
        <f>S4_Encoded!F27+S4_Encoded!H27</f>
        <v/>
      </c>
      <c r="O27" s="37">
        <f>COUNTIF(N$5:N$28,"&lt;"&amp;N27)+(COUNTIF(N$5:N$28,"="&amp;N27)+1)/2</f>
        <v/>
      </c>
      <c r="P27" s="36">
        <f>S4_Encoded!F27+S4_Encoded!J27</f>
        <v/>
      </c>
      <c r="Q27" s="37">
        <f>COUNTIF(P$5:P$28,"&lt;"&amp;P27)+(COUNTIF(P$5:P$28,"="&amp;P27)+1)/2</f>
        <v/>
      </c>
      <c r="R27" s="36">
        <f>S4_Encoded!G27+S4_Encoded!H27</f>
        <v/>
      </c>
      <c r="S27" s="37">
        <f>COUNTIF(R$5:R$28,"&lt;"&amp;R27)+(COUNTIF(R$5:R$28,"="&amp;R27)+1)/2</f>
        <v/>
      </c>
      <c r="T27" s="36">
        <f>S4_Encoded!G27+S4_Encoded!J27</f>
        <v/>
      </c>
      <c r="U27" s="37">
        <f>COUNTIF(T$5:T$28,"&lt;"&amp;T27)+(COUNTIF(T$5:T$28,"="&amp;T27)+1)/2</f>
        <v/>
      </c>
      <c r="V27" s="36">
        <f>S4_Encoded!H27+S4_Encoded!J27</f>
        <v/>
      </c>
      <c r="W27" s="37">
        <f>COUNTIF(V$5:V$28,"&lt;"&amp;V27)+(COUNTIF(V$5:V$28,"="&amp;V27)+1)/2</f>
        <v/>
      </c>
      <c r="X27" s="36">
        <f>S4_Encoded!F27+S4_Encoded!G27+S4_Encoded!H27</f>
        <v/>
      </c>
      <c r="Y27" s="37">
        <f>COUNTIF(X$5:X$28,"&lt;"&amp;X27)+(COUNTIF(X$5:X$28,"="&amp;X27)+1)/2</f>
        <v/>
      </c>
      <c r="Z27" s="36">
        <f>S4_Encoded!F27+S4_Encoded!G27+S4_Encoded!J27</f>
        <v/>
      </c>
      <c r="AA27" s="37">
        <f>COUNTIF(Z$5:Z$28,"&lt;"&amp;Z27)+(COUNTIF(Z$5:Z$28,"="&amp;Z27)+1)/2</f>
        <v/>
      </c>
      <c r="AB27" s="36">
        <f>S4_Encoded!F27+S4_Encoded!H27+S4_Encoded!J27</f>
        <v/>
      </c>
      <c r="AC27" s="37">
        <f>COUNTIF(AB$5:AB$28,"&lt;"&amp;AB27)+(COUNTIF(AB$5:AB$28,"="&amp;AB27)+1)/2</f>
        <v/>
      </c>
      <c r="AD27" s="36">
        <f>S4_Encoded!G27+S4_Encoded!H27+S4_Encoded!J27</f>
        <v/>
      </c>
      <c r="AE27" s="37">
        <f>COUNTIF(AD$5:AD$28,"&lt;"&amp;AD27)+(COUNTIF(AD$5:AD$28,"="&amp;AD27)+1)/2</f>
        <v/>
      </c>
      <c r="AF27" s="36">
        <f>S4_Encoded!F27+S4_Encoded!G27+S4_Encoded!H27+S4_Encoded!J27</f>
        <v/>
      </c>
      <c r="AG27" s="37">
        <f>COUNTIF(AF$5:AF$28,"&lt;"&amp;AF27)+(COUNTIF(AF$5:AF$28,"="&amp;AF27)+1)/2</f>
        <v/>
      </c>
    </row>
    <row r="28">
      <c r="A28" s="35">
        <f>S4_Encoded!A28</f>
        <v/>
      </c>
      <c r="B28" s="35">
        <f>S4_Encoded!E28</f>
        <v/>
      </c>
      <c r="D28" s="36">
        <f>S4_Encoded!F28</f>
        <v/>
      </c>
      <c r="E28" s="37">
        <f>COUNTIF(D$5:D$28,"&lt;"&amp;D28)+(COUNTIF(D$5:D$28,"="&amp;D28)+1)/2</f>
        <v/>
      </c>
      <c r="F28" s="36">
        <f>S4_Encoded!G28</f>
        <v/>
      </c>
      <c r="G28" s="37">
        <f>COUNTIF(F$5:F$28,"&lt;"&amp;F28)+(COUNTIF(F$5:F$28,"="&amp;F28)+1)/2</f>
        <v/>
      </c>
      <c r="H28" s="36">
        <f>S4_Encoded!H28</f>
        <v/>
      </c>
      <c r="I28" s="37">
        <f>COUNTIF(H$5:H$28,"&lt;"&amp;H28)+(COUNTIF(H$5:H$28,"="&amp;H28)+1)/2</f>
        <v/>
      </c>
      <c r="J28" s="36">
        <f>S4_Encoded!J28</f>
        <v/>
      </c>
      <c r="K28" s="37">
        <f>COUNTIF(J$5:J$28,"&lt;"&amp;J28)+(COUNTIF(J$5:J$28,"="&amp;J28)+1)/2</f>
        <v/>
      </c>
      <c r="L28" s="36">
        <f>S4_Encoded!F28+S4_Encoded!G28</f>
        <v/>
      </c>
      <c r="M28" s="37">
        <f>COUNTIF(L$5:L$28,"&lt;"&amp;L28)+(COUNTIF(L$5:L$28,"="&amp;L28)+1)/2</f>
        <v/>
      </c>
      <c r="N28" s="36">
        <f>S4_Encoded!F28+S4_Encoded!H28</f>
        <v/>
      </c>
      <c r="O28" s="37">
        <f>COUNTIF(N$5:N$28,"&lt;"&amp;N28)+(COUNTIF(N$5:N$28,"="&amp;N28)+1)/2</f>
        <v/>
      </c>
      <c r="P28" s="36">
        <f>S4_Encoded!F28+S4_Encoded!J28</f>
        <v/>
      </c>
      <c r="Q28" s="37">
        <f>COUNTIF(P$5:P$28,"&lt;"&amp;P28)+(COUNTIF(P$5:P$28,"="&amp;P28)+1)/2</f>
        <v/>
      </c>
      <c r="R28" s="36">
        <f>S4_Encoded!G28+S4_Encoded!H28</f>
        <v/>
      </c>
      <c r="S28" s="37">
        <f>COUNTIF(R$5:R$28,"&lt;"&amp;R28)+(COUNTIF(R$5:R$28,"="&amp;R28)+1)/2</f>
        <v/>
      </c>
      <c r="T28" s="36">
        <f>S4_Encoded!G28+S4_Encoded!J28</f>
        <v/>
      </c>
      <c r="U28" s="37">
        <f>COUNTIF(T$5:T$28,"&lt;"&amp;T28)+(COUNTIF(T$5:T$28,"="&amp;T28)+1)/2</f>
        <v/>
      </c>
      <c r="V28" s="36">
        <f>S4_Encoded!H28+S4_Encoded!J28</f>
        <v/>
      </c>
      <c r="W28" s="37">
        <f>COUNTIF(V$5:V$28,"&lt;"&amp;V28)+(COUNTIF(V$5:V$28,"="&amp;V28)+1)/2</f>
        <v/>
      </c>
      <c r="X28" s="36">
        <f>S4_Encoded!F28+S4_Encoded!G28+S4_Encoded!H28</f>
        <v/>
      </c>
      <c r="Y28" s="37">
        <f>COUNTIF(X$5:X$28,"&lt;"&amp;X28)+(COUNTIF(X$5:X$28,"="&amp;X28)+1)/2</f>
        <v/>
      </c>
      <c r="Z28" s="36">
        <f>S4_Encoded!F28+S4_Encoded!G28+S4_Encoded!J28</f>
        <v/>
      </c>
      <c r="AA28" s="37">
        <f>COUNTIF(Z$5:Z$28,"&lt;"&amp;Z28)+(COUNTIF(Z$5:Z$28,"="&amp;Z28)+1)/2</f>
        <v/>
      </c>
      <c r="AB28" s="36">
        <f>S4_Encoded!F28+S4_Encoded!H28+S4_Encoded!J28</f>
        <v/>
      </c>
      <c r="AC28" s="37">
        <f>COUNTIF(AB$5:AB$28,"&lt;"&amp;AB28)+(COUNTIF(AB$5:AB$28,"="&amp;AB28)+1)/2</f>
        <v/>
      </c>
      <c r="AD28" s="36">
        <f>S4_Encoded!G28+S4_Encoded!H28+S4_Encoded!J28</f>
        <v/>
      </c>
      <c r="AE28" s="37">
        <f>COUNTIF(AD$5:AD$28,"&lt;"&amp;AD28)+(COUNTIF(AD$5:AD$28,"="&amp;AD28)+1)/2</f>
        <v/>
      </c>
      <c r="AF28" s="36">
        <f>S4_Encoded!F28+S4_Encoded!G28+S4_Encoded!H28+S4_Encoded!J28</f>
        <v/>
      </c>
      <c r="AG28" s="37">
        <f>COUNTIF(AF$5:AF$28,"&lt;"&amp;AF28)+(COUNTIF(AF$5:AF$28,"="&amp;AF28)+1)/2</f>
        <v/>
      </c>
    </row>
    <row r="30">
      <c r="B30" s="34" t="inlineStr">
        <is>
          <t>empty→</t>
        </is>
      </c>
    </row>
    <row r="31">
      <c r="A31" s="33" t="inlineStr">
        <is>
          <t>AUC →</t>
        </is>
      </c>
      <c r="B31" s="38" t="n">
        <v>0.5</v>
      </c>
      <c r="D31" s="39">
        <f>(SUMPRODUCT(($B$5:$B$28=0)*E$5:E$28)-(S1_Input!$B$4-S1_Input!$B$5)*((S1_Input!$B$4-S1_Input!$B$5)+1)/2)/((S1_Input!$B$4-S1_Input!$B$5)*S1_Input!$B$5)</f>
        <v/>
      </c>
      <c r="F31" s="39">
        <f>(SUMPRODUCT(($B$5:$B$28=0)*G$5:G$28)-(S1_Input!$B$4-S1_Input!$B$5)*((S1_Input!$B$4-S1_Input!$B$5)+1)/2)/((S1_Input!$B$4-S1_Input!$B$5)*S1_Input!$B$5)</f>
        <v/>
      </c>
      <c r="H31" s="39">
        <f>(SUMPRODUCT(($B$5:$B$28=0)*I$5:I$28)-(S1_Input!$B$4-S1_Input!$B$5)*((S1_Input!$B$4-S1_Input!$B$5)+1)/2)/((S1_Input!$B$4-S1_Input!$B$5)*S1_Input!$B$5)</f>
        <v/>
      </c>
      <c r="J31" s="39">
        <f>(SUMPRODUCT(($B$5:$B$28=0)*K$5:K$28)-(S1_Input!$B$4-S1_Input!$B$5)*((S1_Input!$B$4-S1_Input!$B$5)+1)/2)/((S1_Input!$B$4-S1_Input!$B$5)*S1_Input!$B$5)</f>
        <v/>
      </c>
      <c r="L31" s="39">
        <f>(SUMPRODUCT(($B$5:$B$28=0)*M$5:M$28)-(S1_Input!$B$4-S1_Input!$B$5)*((S1_Input!$B$4-S1_Input!$B$5)+1)/2)/((S1_Input!$B$4-S1_Input!$B$5)*S1_Input!$B$5)</f>
        <v/>
      </c>
      <c r="N31" s="39">
        <f>(SUMPRODUCT(($B$5:$B$28=0)*O$5:O$28)-(S1_Input!$B$4-S1_Input!$B$5)*((S1_Input!$B$4-S1_Input!$B$5)+1)/2)/((S1_Input!$B$4-S1_Input!$B$5)*S1_Input!$B$5)</f>
        <v/>
      </c>
      <c r="P31" s="39">
        <f>(SUMPRODUCT(($B$5:$B$28=0)*Q$5:Q$28)-(S1_Input!$B$4-S1_Input!$B$5)*((S1_Input!$B$4-S1_Input!$B$5)+1)/2)/((S1_Input!$B$4-S1_Input!$B$5)*S1_Input!$B$5)</f>
        <v/>
      </c>
      <c r="R31" s="39">
        <f>(SUMPRODUCT(($B$5:$B$28=0)*S$5:S$28)-(S1_Input!$B$4-S1_Input!$B$5)*((S1_Input!$B$4-S1_Input!$B$5)+1)/2)/((S1_Input!$B$4-S1_Input!$B$5)*S1_Input!$B$5)</f>
        <v/>
      </c>
      <c r="T31" s="39">
        <f>(SUMPRODUCT(($B$5:$B$28=0)*U$5:U$28)-(S1_Input!$B$4-S1_Input!$B$5)*((S1_Input!$B$4-S1_Input!$B$5)+1)/2)/((S1_Input!$B$4-S1_Input!$B$5)*S1_Input!$B$5)</f>
        <v/>
      </c>
      <c r="V31" s="39">
        <f>(SUMPRODUCT(($B$5:$B$28=0)*W$5:W$28)-(S1_Input!$B$4-S1_Input!$B$5)*((S1_Input!$B$4-S1_Input!$B$5)+1)/2)/((S1_Input!$B$4-S1_Input!$B$5)*S1_Input!$B$5)</f>
        <v/>
      </c>
      <c r="X31" s="39">
        <f>(SUMPRODUCT(($B$5:$B$28=0)*Y$5:Y$28)-(S1_Input!$B$4-S1_Input!$B$5)*((S1_Input!$B$4-S1_Input!$B$5)+1)/2)/((S1_Input!$B$4-S1_Input!$B$5)*S1_Input!$B$5)</f>
        <v/>
      </c>
      <c r="Z31" s="39">
        <f>(SUMPRODUCT(($B$5:$B$28=0)*AA$5:AA$28)-(S1_Input!$B$4-S1_Input!$B$5)*((S1_Input!$B$4-S1_Input!$B$5)+1)/2)/((S1_Input!$B$4-S1_Input!$B$5)*S1_Input!$B$5)</f>
        <v/>
      </c>
      <c r="AB31" s="39">
        <f>(SUMPRODUCT(($B$5:$B$28=0)*AC$5:AC$28)-(S1_Input!$B$4-S1_Input!$B$5)*((S1_Input!$B$4-S1_Input!$B$5)+1)/2)/((S1_Input!$B$4-S1_Input!$B$5)*S1_Input!$B$5)</f>
        <v/>
      </c>
      <c r="AD31" s="39">
        <f>(SUMPRODUCT(($B$5:$B$28=0)*AE$5:AE$28)-(S1_Input!$B$4-S1_Input!$B$5)*((S1_Input!$B$4-S1_Input!$B$5)+1)/2)/((S1_Input!$B$4-S1_Input!$B$5)*S1_Input!$B$5)</f>
        <v/>
      </c>
      <c r="AF31" s="39">
        <f>(SUMPRODUCT(($B$5:$B$28=0)*AG$5:AG$28)-(S1_Input!$B$4-S1_Input!$B$5)*((S1_Input!$B$4-S1_Input!$B$5)+1)/2)/((S1_Input!$B$4-S1_Input!$B$5)*S1_Input!$B$5)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8" customWidth="1" min="5" max="5"/>
    <col width="12" customWidth="1" min="6" max="6"/>
  </cols>
  <sheetData>
    <row r="1">
      <c r="A1" s="1" t="inlineStr">
        <is>
          <t>S6 · Stage 3 — parsimony: the smallest set that keeps the power</t>
        </is>
      </c>
    </row>
    <row r="2">
      <c r="A2" s="2" t="inlineStr">
        <is>
          <t>Add features in order of Shapley importance; stop at the smallest k whose Gini is within 5% of the full model. (The real pipeline also requires DeLong p ≥ 0.05.)</t>
        </is>
      </c>
    </row>
    <row r="4">
      <c r="A4" s="12" t="inlineStr">
        <is>
          <t>k</t>
        </is>
      </c>
      <c r="B4" s="12" t="inlineStr">
        <is>
          <t>features (by importance)</t>
        </is>
      </c>
      <c r="C4" s="12" t="inlineStr">
        <is>
          <t>AUC</t>
        </is>
      </c>
      <c r="D4" s="12" t="inlineStr">
        <is>
          <t>Gini</t>
        </is>
      </c>
      <c r="E4" s="12" t="inlineStr">
        <is>
          <t>rel. Gini loss vs full</t>
        </is>
      </c>
      <c r="F4" s="12" t="inlineStr">
        <is>
          <t>within 5%?</t>
        </is>
      </c>
    </row>
    <row r="5">
      <c r="A5" s="40" t="n">
        <v>1</v>
      </c>
      <c r="B5" s="17" t="inlineStr">
        <is>
          <t>Debt</t>
        </is>
      </c>
      <c r="C5" s="29">
        <f>S5b_Engine!$F$31</f>
        <v/>
      </c>
      <c r="D5" s="28">
        <f>2*C5-1</f>
        <v/>
      </c>
      <c r="E5" s="22">
        <f>($D$7-D5)/$D$7</f>
        <v/>
      </c>
      <c r="F5" s="30">
        <f>IF(E5&lt;=0.05,"yes","no")</f>
        <v/>
      </c>
    </row>
    <row r="6">
      <c r="A6" s="40" t="n">
        <v>2</v>
      </c>
      <c r="B6" s="17" t="inlineStr">
        <is>
          <t>Debt + Emp</t>
        </is>
      </c>
      <c r="C6" s="29">
        <f>S5b_Engine!$R$31</f>
        <v/>
      </c>
      <c r="D6" s="28">
        <f>2*C6-1</f>
        <v/>
      </c>
      <c r="E6" s="22">
        <f>($D$7-D6)/$D$7</f>
        <v/>
      </c>
      <c r="F6" s="30">
        <f>IF(E6&lt;=0.05,"yes","no")</f>
        <v/>
      </c>
    </row>
    <row r="7">
      <c r="A7" s="40" t="n">
        <v>3</v>
      </c>
      <c r="B7" s="17" t="inlineStr">
        <is>
          <t>Debt + Emp + Income</t>
        </is>
      </c>
      <c r="C7" s="29">
        <f>S5b_Engine!$X$31</f>
        <v/>
      </c>
      <c r="D7" s="28">
        <f>2*C7-1</f>
        <v/>
      </c>
      <c r="E7" s="22">
        <f>($D$7-D7)/$D$7</f>
        <v/>
      </c>
      <c r="F7" s="30">
        <f>IF(E7&lt;=0.05,"yes","no")</f>
        <v/>
      </c>
    </row>
    <row r="9">
      <c r="A9" s="6" t="inlineStr">
        <is>
          <t>Selected k (smallest within 5%)</t>
        </is>
      </c>
      <c r="B9" s="15" t="n"/>
      <c r="C9" s="41">
        <f>2</f>
        <v/>
      </c>
    </row>
    <row r="10">
      <c r="A10" s="6" t="inlineStr">
        <is>
          <t>Selected features</t>
        </is>
      </c>
      <c r="B10" s="15" t="n"/>
      <c r="C10" s="42" t="inlineStr">
        <is>
          <t>Debt, Emp</t>
        </is>
      </c>
      <c r="D10" s="14" t="n"/>
      <c r="E10" s="14" t="n"/>
      <c r="F10" s="15" t="n"/>
    </row>
  </sheetData>
  <mergeCells count="3">
    <mergeCell ref="A9:B9"/>
    <mergeCell ref="C10:F10"/>
    <mergeCell ref="A10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20" customWidth="1" min="5" max="5"/>
  </cols>
  <sheetData>
    <row r="1">
      <c r="A1" s="1" t="inlineStr">
        <is>
          <t>S7 · Stage 4 — scorecard → calibrated PD (floored 0.03%)</t>
        </is>
      </c>
    </row>
    <row r="2">
      <c r="A2" s="2" t="inlineStr">
        <is>
          <t>Score = sum of the selected features' WOE. PD = the observed default rate of applicants in the same score band (a hand-computable stand-in for isotonic calibration).</t>
        </is>
      </c>
    </row>
    <row r="4">
      <c r="A4" s="6" t="inlineStr">
        <is>
          <t>Score band cuts (inputs)</t>
        </is>
      </c>
      <c r="B4" s="43" t="n">
        <v>-0.6919999999999999</v>
      </c>
      <c r="C4" s="43" t="n">
        <v>2.042</v>
      </c>
      <c r="D4" s="43" t="n">
        <v>3.042</v>
      </c>
    </row>
    <row r="6">
      <c r="A6" s="12" t="inlineStr">
        <is>
          <t>ID</t>
        </is>
      </c>
      <c r="B6" s="12" t="inlineStr">
        <is>
          <t>Score</t>
        </is>
      </c>
      <c r="C6" s="12" t="inlineStr">
        <is>
          <t>Band</t>
        </is>
      </c>
      <c r="D6" s="12" t="inlineStr">
        <is>
          <t>Band PD</t>
        </is>
      </c>
      <c r="E6" s="12" t="inlineStr">
        <is>
          <t>Calibrated PD (floored)</t>
        </is>
      </c>
    </row>
    <row r="7">
      <c r="A7" s="13">
        <f>S4_Encoded!A5</f>
        <v/>
      </c>
      <c r="B7" s="23">
        <f>S4_Encoded!G5+S4_Encoded!H5</f>
        <v/>
      </c>
      <c r="C7" s="13">
        <f>1+(B7&gt;=$B$4)+(B7&gt;=$C$4)+(B7&gt;=$D$4)</f>
        <v/>
      </c>
      <c r="D7" s="44">
        <f>INDEX($B$34:$B$37,C7)</f>
        <v/>
      </c>
      <c r="E7" s="45">
        <f>MAX(D7,0.0003)</f>
        <v/>
      </c>
    </row>
    <row r="8">
      <c r="A8" s="13">
        <f>S4_Encoded!A6</f>
        <v/>
      </c>
      <c r="B8" s="23">
        <f>S4_Encoded!G6+S4_Encoded!H6</f>
        <v/>
      </c>
      <c r="C8" s="13">
        <f>1+(B8&gt;=$B$4)+(B8&gt;=$C$4)+(B8&gt;=$D$4)</f>
        <v/>
      </c>
      <c r="D8" s="44">
        <f>INDEX($B$34:$B$37,C8)</f>
        <v/>
      </c>
      <c r="E8" s="45">
        <f>MAX(D8,0.0003)</f>
        <v/>
      </c>
    </row>
    <row r="9">
      <c r="A9" s="13">
        <f>S4_Encoded!A7</f>
        <v/>
      </c>
      <c r="B9" s="23">
        <f>S4_Encoded!G7+S4_Encoded!H7</f>
        <v/>
      </c>
      <c r="C9" s="13">
        <f>1+(B9&gt;=$B$4)+(B9&gt;=$C$4)+(B9&gt;=$D$4)</f>
        <v/>
      </c>
      <c r="D9" s="44">
        <f>INDEX($B$34:$B$37,C9)</f>
        <v/>
      </c>
      <c r="E9" s="45">
        <f>MAX(D9,0.0003)</f>
        <v/>
      </c>
    </row>
    <row r="10">
      <c r="A10" s="13">
        <f>S4_Encoded!A8</f>
        <v/>
      </c>
      <c r="B10" s="23">
        <f>S4_Encoded!G8+S4_Encoded!H8</f>
        <v/>
      </c>
      <c r="C10" s="13">
        <f>1+(B10&gt;=$B$4)+(B10&gt;=$C$4)+(B10&gt;=$D$4)</f>
        <v/>
      </c>
      <c r="D10" s="44">
        <f>INDEX($B$34:$B$37,C10)</f>
        <v/>
      </c>
      <c r="E10" s="45">
        <f>MAX(D10,0.0003)</f>
        <v/>
      </c>
    </row>
    <row r="11">
      <c r="A11" s="13">
        <f>S4_Encoded!A9</f>
        <v/>
      </c>
      <c r="B11" s="23">
        <f>S4_Encoded!G9+S4_Encoded!H9</f>
        <v/>
      </c>
      <c r="C11" s="13">
        <f>1+(B11&gt;=$B$4)+(B11&gt;=$C$4)+(B11&gt;=$D$4)</f>
        <v/>
      </c>
      <c r="D11" s="44">
        <f>INDEX($B$34:$B$37,C11)</f>
        <v/>
      </c>
      <c r="E11" s="45">
        <f>MAX(D11,0.0003)</f>
        <v/>
      </c>
    </row>
    <row r="12">
      <c r="A12" s="13">
        <f>S4_Encoded!A10</f>
        <v/>
      </c>
      <c r="B12" s="23">
        <f>S4_Encoded!G10+S4_Encoded!H10</f>
        <v/>
      </c>
      <c r="C12" s="13">
        <f>1+(B12&gt;=$B$4)+(B12&gt;=$C$4)+(B12&gt;=$D$4)</f>
        <v/>
      </c>
      <c r="D12" s="44">
        <f>INDEX($B$34:$B$37,C12)</f>
        <v/>
      </c>
      <c r="E12" s="45">
        <f>MAX(D12,0.0003)</f>
        <v/>
      </c>
    </row>
    <row r="13">
      <c r="A13" s="13">
        <f>S4_Encoded!A11</f>
        <v/>
      </c>
      <c r="B13" s="23">
        <f>S4_Encoded!G11+S4_Encoded!H11</f>
        <v/>
      </c>
      <c r="C13" s="13">
        <f>1+(B13&gt;=$B$4)+(B13&gt;=$C$4)+(B13&gt;=$D$4)</f>
        <v/>
      </c>
      <c r="D13" s="44">
        <f>INDEX($B$34:$B$37,C13)</f>
        <v/>
      </c>
      <c r="E13" s="45">
        <f>MAX(D13,0.0003)</f>
        <v/>
      </c>
    </row>
    <row r="14">
      <c r="A14" s="13">
        <f>S4_Encoded!A12</f>
        <v/>
      </c>
      <c r="B14" s="23">
        <f>S4_Encoded!G12+S4_Encoded!H12</f>
        <v/>
      </c>
      <c r="C14" s="13">
        <f>1+(B14&gt;=$B$4)+(B14&gt;=$C$4)+(B14&gt;=$D$4)</f>
        <v/>
      </c>
      <c r="D14" s="44">
        <f>INDEX($B$34:$B$37,C14)</f>
        <v/>
      </c>
      <c r="E14" s="45">
        <f>MAX(D14,0.0003)</f>
        <v/>
      </c>
    </row>
    <row r="15">
      <c r="A15" s="13">
        <f>S4_Encoded!A13</f>
        <v/>
      </c>
      <c r="B15" s="23">
        <f>S4_Encoded!G13+S4_Encoded!H13</f>
        <v/>
      </c>
      <c r="C15" s="13">
        <f>1+(B15&gt;=$B$4)+(B15&gt;=$C$4)+(B15&gt;=$D$4)</f>
        <v/>
      </c>
      <c r="D15" s="44">
        <f>INDEX($B$34:$B$37,C15)</f>
        <v/>
      </c>
      <c r="E15" s="45">
        <f>MAX(D15,0.0003)</f>
        <v/>
      </c>
    </row>
    <row r="16">
      <c r="A16" s="13">
        <f>S4_Encoded!A14</f>
        <v/>
      </c>
      <c r="B16" s="23">
        <f>S4_Encoded!G14+S4_Encoded!H14</f>
        <v/>
      </c>
      <c r="C16" s="13">
        <f>1+(B16&gt;=$B$4)+(B16&gt;=$C$4)+(B16&gt;=$D$4)</f>
        <v/>
      </c>
      <c r="D16" s="44">
        <f>INDEX($B$34:$B$37,C16)</f>
        <v/>
      </c>
      <c r="E16" s="45">
        <f>MAX(D16,0.0003)</f>
        <v/>
      </c>
    </row>
    <row r="17">
      <c r="A17" s="13">
        <f>S4_Encoded!A15</f>
        <v/>
      </c>
      <c r="B17" s="23">
        <f>S4_Encoded!G15+S4_Encoded!H15</f>
        <v/>
      </c>
      <c r="C17" s="13">
        <f>1+(B17&gt;=$B$4)+(B17&gt;=$C$4)+(B17&gt;=$D$4)</f>
        <v/>
      </c>
      <c r="D17" s="44">
        <f>INDEX($B$34:$B$37,C17)</f>
        <v/>
      </c>
      <c r="E17" s="45">
        <f>MAX(D17,0.0003)</f>
        <v/>
      </c>
    </row>
    <row r="18">
      <c r="A18" s="13">
        <f>S4_Encoded!A16</f>
        <v/>
      </c>
      <c r="B18" s="23">
        <f>S4_Encoded!G16+S4_Encoded!H16</f>
        <v/>
      </c>
      <c r="C18" s="13">
        <f>1+(B18&gt;=$B$4)+(B18&gt;=$C$4)+(B18&gt;=$D$4)</f>
        <v/>
      </c>
      <c r="D18" s="44">
        <f>INDEX($B$34:$B$37,C18)</f>
        <v/>
      </c>
      <c r="E18" s="45">
        <f>MAX(D18,0.0003)</f>
        <v/>
      </c>
    </row>
    <row r="19">
      <c r="A19" s="13">
        <f>S4_Encoded!A17</f>
        <v/>
      </c>
      <c r="B19" s="23">
        <f>S4_Encoded!G17+S4_Encoded!H17</f>
        <v/>
      </c>
      <c r="C19" s="13">
        <f>1+(B19&gt;=$B$4)+(B19&gt;=$C$4)+(B19&gt;=$D$4)</f>
        <v/>
      </c>
      <c r="D19" s="44">
        <f>INDEX($B$34:$B$37,C19)</f>
        <v/>
      </c>
      <c r="E19" s="45">
        <f>MAX(D19,0.0003)</f>
        <v/>
      </c>
    </row>
    <row r="20">
      <c r="A20" s="13">
        <f>S4_Encoded!A18</f>
        <v/>
      </c>
      <c r="B20" s="23">
        <f>S4_Encoded!G18+S4_Encoded!H18</f>
        <v/>
      </c>
      <c r="C20" s="13">
        <f>1+(B20&gt;=$B$4)+(B20&gt;=$C$4)+(B20&gt;=$D$4)</f>
        <v/>
      </c>
      <c r="D20" s="44">
        <f>INDEX($B$34:$B$37,C20)</f>
        <v/>
      </c>
      <c r="E20" s="45">
        <f>MAX(D20,0.0003)</f>
        <v/>
      </c>
    </row>
    <row r="21">
      <c r="A21" s="13">
        <f>S4_Encoded!A19</f>
        <v/>
      </c>
      <c r="B21" s="23">
        <f>S4_Encoded!G19+S4_Encoded!H19</f>
        <v/>
      </c>
      <c r="C21" s="13">
        <f>1+(B21&gt;=$B$4)+(B21&gt;=$C$4)+(B21&gt;=$D$4)</f>
        <v/>
      </c>
      <c r="D21" s="44">
        <f>INDEX($B$34:$B$37,C21)</f>
        <v/>
      </c>
      <c r="E21" s="45">
        <f>MAX(D21,0.0003)</f>
        <v/>
      </c>
    </row>
    <row r="22">
      <c r="A22" s="13">
        <f>S4_Encoded!A20</f>
        <v/>
      </c>
      <c r="B22" s="23">
        <f>S4_Encoded!G20+S4_Encoded!H20</f>
        <v/>
      </c>
      <c r="C22" s="13">
        <f>1+(B22&gt;=$B$4)+(B22&gt;=$C$4)+(B22&gt;=$D$4)</f>
        <v/>
      </c>
      <c r="D22" s="44">
        <f>INDEX($B$34:$B$37,C22)</f>
        <v/>
      </c>
      <c r="E22" s="45">
        <f>MAX(D22,0.0003)</f>
        <v/>
      </c>
    </row>
    <row r="23">
      <c r="A23" s="13">
        <f>S4_Encoded!A21</f>
        <v/>
      </c>
      <c r="B23" s="23">
        <f>S4_Encoded!G21+S4_Encoded!H21</f>
        <v/>
      </c>
      <c r="C23" s="13">
        <f>1+(B23&gt;=$B$4)+(B23&gt;=$C$4)+(B23&gt;=$D$4)</f>
        <v/>
      </c>
      <c r="D23" s="44">
        <f>INDEX($B$34:$B$37,C23)</f>
        <v/>
      </c>
      <c r="E23" s="45">
        <f>MAX(D23,0.0003)</f>
        <v/>
      </c>
    </row>
    <row r="24">
      <c r="A24" s="13">
        <f>S4_Encoded!A22</f>
        <v/>
      </c>
      <c r="B24" s="23">
        <f>S4_Encoded!G22+S4_Encoded!H22</f>
        <v/>
      </c>
      <c r="C24" s="13">
        <f>1+(B24&gt;=$B$4)+(B24&gt;=$C$4)+(B24&gt;=$D$4)</f>
        <v/>
      </c>
      <c r="D24" s="44">
        <f>INDEX($B$34:$B$37,C24)</f>
        <v/>
      </c>
      <c r="E24" s="45">
        <f>MAX(D24,0.0003)</f>
        <v/>
      </c>
    </row>
    <row r="25">
      <c r="A25" s="13">
        <f>S4_Encoded!A23</f>
        <v/>
      </c>
      <c r="B25" s="23">
        <f>S4_Encoded!G23+S4_Encoded!H23</f>
        <v/>
      </c>
      <c r="C25" s="13">
        <f>1+(B25&gt;=$B$4)+(B25&gt;=$C$4)+(B25&gt;=$D$4)</f>
        <v/>
      </c>
      <c r="D25" s="44">
        <f>INDEX($B$34:$B$37,C25)</f>
        <v/>
      </c>
      <c r="E25" s="45">
        <f>MAX(D25,0.0003)</f>
        <v/>
      </c>
    </row>
    <row r="26">
      <c r="A26" s="13">
        <f>S4_Encoded!A24</f>
        <v/>
      </c>
      <c r="B26" s="23">
        <f>S4_Encoded!G24+S4_Encoded!H24</f>
        <v/>
      </c>
      <c r="C26" s="13">
        <f>1+(B26&gt;=$B$4)+(B26&gt;=$C$4)+(B26&gt;=$D$4)</f>
        <v/>
      </c>
      <c r="D26" s="44">
        <f>INDEX($B$34:$B$37,C26)</f>
        <v/>
      </c>
      <c r="E26" s="45">
        <f>MAX(D26,0.0003)</f>
        <v/>
      </c>
    </row>
    <row r="27">
      <c r="A27" s="13">
        <f>S4_Encoded!A25</f>
        <v/>
      </c>
      <c r="B27" s="23">
        <f>S4_Encoded!G25+S4_Encoded!H25</f>
        <v/>
      </c>
      <c r="C27" s="13">
        <f>1+(B27&gt;=$B$4)+(B27&gt;=$C$4)+(B27&gt;=$D$4)</f>
        <v/>
      </c>
      <c r="D27" s="44">
        <f>INDEX($B$34:$B$37,C27)</f>
        <v/>
      </c>
      <c r="E27" s="45">
        <f>MAX(D27,0.0003)</f>
        <v/>
      </c>
    </row>
    <row r="28">
      <c r="A28" s="13">
        <f>S4_Encoded!A26</f>
        <v/>
      </c>
      <c r="B28" s="23">
        <f>S4_Encoded!G26+S4_Encoded!H26</f>
        <v/>
      </c>
      <c r="C28" s="13">
        <f>1+(B28&gt;=$B$4)+(B28&gt;=$C$4)+(B28&gt;=$D$4)</f>
        <v/>
      </c>
      <c r="D28" s="44">
        <f>INDEX($B$34:$B$37,C28)</f>
        <v/>
      </c>
      <c r="E28" s="45">
        <f>MAX(D28,0.0003)</f>
        <v/>
      </c>
    </row>
    <row r="29">
      <c r="A29" s="13">
        <f>S4_Encoded!A27</f>
        <v/>
      </c>
      <c r="B29" s="23">
        <f>S4_Encoded!G27+S4_Encoded!H27</f>
        <v/>
      </c>
      <c r="C29" s="13">
        <f>1+(B29&gt;=$B$4)+(B29&gt;=$C$4)+(B29&gt;=$D$4)</f>
        <v/>
      </c>
      <c r="D29" s="44">
        <f>INDEX($B$34:$B$37,C29)</f>
        <v/>
      </c>
      <c r="E29" s="45">
        <f>MAX(D29,0.0003)</f>
        <v/>
      </c>
    </row>
    <row r="30">
      <c r="A30" s="13">
        <f>S4_Encoded!A28</f>
        <v/>
      </c>
      <c r="B30" s="23">
        <f>S4_Encoded!G28+S4_Encoded!H28</f>
        <v/>
      </c>
      <c r="C30" s="13">
        <f>1+(B30&gt;=$B$4)+(B30&gt;=$C$4)+(B30&gt;=$D$4)</f>
        <v/>
      </c>
      <c r="D30" s="44">
        <f>INDEX($B$34:$B$37,C30)</f>
        <v/>
      </c>
      <c r="E30" s="45">
        <f>MAX(D30,0.0003)</f>
        <v/>
      </c>
    </row>
    <row r="32">
      <c r="A32" s="6" t="inlineStr">
        <is>
          <t>Band observed default rate</t>
        </is>
      </c>
      <c r="B32" s="14" t="n"/>
      <c r="C32" s="15" t="n"/>
    </row>
    <row r="33">
      <c r="A33" s="12" t="inlineStr">
        <is>
          <t>Band</t>
        </is>
      </c>
      <c r="B33" s="12" t="inlineStr">
        <is>
          <t>Observed PD</t>
        </is>
      </c>
    </row>
    <row r="34">
      <c r="A34" s="13" t="n">
        <v>1</v>
      </c>
      <c r="B34" s="44">
        <f>IFERROR(COUNTIFS($B$7:$B$30,"&lt;"&amp;$B$4,S4_Encoded!$E$5:$E$28,1)/COUNTIFS($B$7:$B$30,"&lt;"&amp;$B$4),0)</f>
        <v/>
      </c>
    </row>
    <row r="35">
      <c r="A35" s="13" t="n">
        <v>2</v>
      </c>
      <c r="B35" s="44">
        <f>IFERROR(COUNTIFS($B$7:$B$30,"&gt;="&amp;$B$4,$B$7:$B$30,"&lt;"&amp;$C$4,S4_Encoded!$E$5:$E$28,1)/COUNTIFS($B$7:$B$30,"&gt;="&amp;$B$4,$B$7:$B$30,"&lt;"&amp;$C$4),0)</f>
        <v/>
      </c>
    </row>
    <row r="36">
      <c r="A36" s="13" t="n">
        <v>3</v>
      </c>
      <c r="B36" s="44">
        <f>IFERROR(COUNTIFS($B$7:$B$30,"&gt;="&amp;$C$4,$B$7:$B$30,"&lt;"&amp;$D$4,S4_Encoded!$E$5:$E$28,1)/COUNTIFS($B$7:$B$30,"&gt;="&amp;$C$4,$B$7:$B$30,"&lt;"&amp;$D$4),0)</f>
        <v/>
      </c>
    </row>
    <row r="37">
      <c r="A37" s="13" t="n">
        <v>4</v>
      </c>
      <c r="B37" s="44">
        <f>IFERROR(COUNTIFS($B$7:$B$30,"&gt;="&amp;$D$4,S4_Encoded!$E$5:$E$28,1)/COUNTIFS($B$7:$B$30,"&gt;="&amp;$D$4),0)</f>
        <v/>
      </c>
    </row>
    <row r="38">
      <c r="A38" s="11" t="inlineStr">
        <is>
          <t>PD floored at 0.03% (Basel CRE32.3). No accept/decline cutoff or pricing is set here — those are institution inputs.</t>
        </is>
      </c>
    </row>
  </sheetData>
  <mergeCells count="2">
    <mergeCell ref="A32:C32"/>
    <mergeCell ref="A38:H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" customWidth="1" min="3" max="3"/>
    <col width="7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S8 · grades &amp; adverse-action reason codes</t>
        </is>
      </c>
    </row>
    <row r="2">
      <c r="A2" s="2" t="inlineStr">
        <is>
          <t>Map each PD to a rating grade on the master scale, and name the feature pushing risk up the most (the exact WOE reason code).</t>
        </is>
      </c>
    </row>
    <row r="4">
      <c r="A4" s="6" t="inlineStr">
        <is>
          <t>Master scale (PD → grade)</t>
        </is>
      </c>
      <c r="B4" s="15" t="n"/>
      <c r="D4" s="6" t="inlineStr">
        <is>
          <t>Applicants</t>
        </is>
      </c>
      <c r="E4" s="14" t="n"/>
      <c r="F4" s="14" t="n"/>
      <c r="G4" s="15" t="n"/>
    </row>
    <row r="5">
      <c r="A5" s="12" t="inlineStr">
        <is>
          <t>grade</t>
        </is>
      </c>
      <c r="B5" s="12" t="inlineStr">
        <is>
          <t>PD floor</t>
        </is>
      </c>
      <c r="D5" s="12" t="inlineStr">
        <is>
          <t>ID</t>
        </is>
      </c>
      <c r="E5" s="12" t="inlineStr">
        <is>
          <t>PD</t>
        </is>
      </c>
      <c r="F5" s="12" t="inlineStr">
        <is>
          <t>Grade</t>
        </is>
      </c>
      <c r="G5" s="12" t="inlineStr">
        <is>
          <t>Top adverse reason</t>
        </is>
      </c>
    </row>
    <row r="6">
      <c r="A6" s="13" t="inlineStr">
        <is>
          <t>AAA</t>
        </is>
      </c>
      <c r="B6" s="44" t="n">
        <v>0</v>
      </c>
      <c r="D6" s="13">
        <f>S7_Scorecard!A7</f>
        <v/>
      </c>
      <c r="E6" s="44">
        <f>S7_Scorecard!E7</f>
        <v/>
      </c>
      <c r="F6" s="40">
        <f>INDEX($A$6:$A$15,MATCH(E6,$B$6:$B$15,1))</f>
        <v/>
      </c>
      <c r="G6" s="35">
        <f>IF(MIN(S4_Encoded!G5,S4_Encoded!H5)&gt;=0,"none (all protective)",IF(S4_Encoded!G5&lt;=S4_Encoded!H5,"Debt","Emp"))</f>
        <v/>
      </c>
    </row>
    <row r="7">
      <c r="A7" s="13" t="inlineStr">
        <is>
          <t>AA</t>
        </is>
      </c>
      <c r="B7" s="44" t="n">
        <v>0.005</v>
      </c>
      <c r="D7" s="13">
        <f>S7_Scorecard!A8</f>
        <v/>
      </c>
      <c r="E7" s="44">
        <f>S7_Scorecard!E8</f>
        <v/>
      </c>
      <c r="F7" s="40">
        <f>INDEX($A$6:$A$15,MATCH(E7,$B$6:$B$15,1))</f>
        <v/>
      </c>
      <c r="G7" s="35">
        <f>IF(MIN(S4_Encoded!G6,S4_Encoded!H6)&gt;=0,"none (all protective)",IF(S4_Encoded!G6&lt;=S4_Encoded!H6,"Debt","Emp"))</f>
        <v/>
      </c>
    </row>
    <row r="8">
      <c r="A8" s="13" t="inlineStr">
        <is>
          <t>A</t>
        </is>
      </c>
      <c r="B8" s="44" t="n">
        <v>0.01</v>
      </c>
      <c r="D8" s="13">
        <f>S7_Scorecard!A9</f>
        <v/>
      </c>
      <c r="E8" s="44">
        <f>S7_Scorecard!E9</f>
        <v/>
      </c>
      <c r="F8" s="40">
        <f>INDEX($A$6:$A$15,MATCH(E8,$B$6:$B$15,1))</f>
        <v/>
      </c>
      <c r="G8" s="35">
        <f>IF(MIN(S4_Encoded!G7,S4_Encoded!H7)&gt;=0,"none (all protective)",IF(S4_Encoded!G7&lt;=S4_Encoded!H7,"Debt","Emp"))</f>
        <v/>
      </c>
    </row>
    <row r="9">
      <c r="A9" s="13" t="inlineStr">
        <is>
          <t>BBB</t>
        </is>
      </c>
      <c r="B9" s="44" t="n">
        <v>0.02</v>
      </c>
      <c r="D9" s="13">
        <f>S7_Scorecard!A10</f>
        <v/>
      </c>
      <c r="E9" s="44">
        <f>S7_Scorecard!E10</f>
        <v/>
      </c>
      <c r="F9" s="40">
        <f>INDEX($A$6:$A$15,MATCH(E9,$B$6:$B$15,1))</f>
        <v/>
      </c>
      <c r="G9" s="35">
        <f>IF(MIN(S4_Encoded!G8,S4_Encoded!H8)&gt;=0,"none (all protective)",IF(S4_Encoded!G8&lt;=S4_Encoded!H8,"Debt","Emp"))</f>
        <v/>
      </c>
    </row>
    <row r="10">
      <c r="A10" s="13" t="inlineStr">
        <is>
          <t>BB</t>
        </is>
      </c>
      <c r="B10" s="44" t="n">
        <v>0.04</v>
      </c>
      <c r="D10" s="13">
        <f>S7_Scorecard!A11</f>
        <v/>
      </c>
      <c r="E10" s="44">
        <f>S7_Scorecard!E11</f>
        <v/>
      </c>
      <c r="F10" s="40">
        <f>INDEX($A$6:$A$15,MATCH(E10,$B$6:$B$15,1))</f>
        <v/>
      </c>
      <c r="G10" s="35">
        <f>IF(MIN(S4_Encoded!G9,S4_Encoded!H9)&gt;=0,"none (all protective)",IF(S4_Encoded!G9&lt;=S4_Encoded!H9,"Debt","Emp"))</f>
        <v/>
      </c>
    </row>
    <row r="11">
      <c r="A11" s="13" t="inlineStr">
        <is>
          <t>B</t>
        </is>
      </c>
      <c r="B11" s="44" t="n">
        <v>0.07000000000000001</v>
      </c>
      <c r="D11" s="13">
        <f>S7_Scorecard!A12</f>
        <v/>
      </c>
      <c r="E11" s="44">
        <f>S7_Scorecard!E12</f>
        <v/>
      </c>
      <c r="F11" s="40">
        <f>INDEX($A$6:$A$15,MATCH(E11,$B$6:$B$15,1))</f>
        <v/>
      </c>
      <c r="G11" s="35">
        <f>IF(MIN(S4_Encoded!G10,S4_Encoded!H10)&gt;=0,"none (all protective)",IF(S4_Encoded!G10&lt;=S4_Encoded!H10,"Debt","Emp"))</f>
        <v/>
      </c>
    </row>
    <row r="12">
      <c r="A12" s="13" t="inlineStr">
        <is>
          <t>CCC</t>
        </is>
      </c>
      <c r="B12" s="44" t="n">
        <v>0.12</v>
      </c>
      <c r="D12" s="13">
        <f>S7_Scorecard!A13</f>
        <v/>
      </c>
      <c r="E12" s="44">
        <f>S7_Scorecard!E13</f>
        <v/>
      </c>
      <c r="F12" s="40">
        <f>INDEX($A$6:$A$15,MATCH(E12,$B$6:$B$15,1))</f>
        <v/>
      </c>
      <c r="G12" s="35">
        <f>IF(MIN(S4_Encoded!G11,S4_Encoded!H11)&gt;=0,"none (all protective)",IF(S4_Encoded!G11&lt;=S4_Encoded!H11,"Debt","Emp"))</f>
        <v/>
      </c>
    </row>
    <row r="13">
      <c r="A13" s="13" t="inlineStr">
        <is>
          <t>CC</t>
        </is>
      </c>
      <c r="B13" s="44" t="n">
        <v>0.2</v>
      </c>
      <c r="D13" s="13">
        <f>S7_Scorecard!A14</f>
        <v/>
      </c>
      <c r="E13" s="44">
        <f>S7_Scorecard!E14</f>
        <v/>
      </c>
      <c r="F13" s="40">
        <f>INDEX($A$6:$A$15,MATCH(E13,$B$6:$B$15,1))</f>
        <v/>
      </c>
      <c r="G13" s="35">
        <f>IF(MIN(S4_Encoded!G12,S4_Encoded!H12)&gt;=0,"none (all protective)",IF(S4_Encoded!G12&lt;=S4_Encoded!H12,"Debt","Emp"))</f>
        <v/>
      </c>
    </row>
    <row r="14">
      <c r="A14" s="13" t="inlineStr">
        <is>
          <t>C</t>
        </is>
      </c>
      <c r="B14" s="44" t="n">
        <v>0.35</v>
      </c>
      <c r="D14" s="13">
        <f>S7_Scorecard!A15</f>
        <v/>
      </c>
      <c r="E14" s="44">
        <f>S7_Scorecard!E15</f>
        <v/>
      </c>
      <c r="F14" s="40">
        <f>INDEX($A$6:$A$15,MATCH(E14,$B$6:$B$15,1))</f>
        <v/>
      </c>
      <c r="G14" s="35">
        <f>IF(MIN(S4_Encoded!G13,S4_Encoded!H13)&gt;=0,"none (all protective)",IF(S4_Encoded!G13&lt;=S4_Encoded!H13,"Debt","Emp"))</f>
        <v/>
      </c>
    </row>
    <row r="15">
      <c r="A15" s="13" t="inlineStr">
        <is>
          <t>D</t>
        </is>
      </c>
      <c r="B15" s="44" t="n">
        <v>0.5</v>
      </c>
      <c r="D15" s="13">
        <f>S7_Scorecard!A16</f>
        <v/>
      </c>
      <c r="E15" s="44">
        <f>S7_Scorecard!E16</f>
        <v/>
      </c>
      <c r="F15" s="40">
        <f>INDEX($A$6:$A$15,MATCH(E15,$B$6:$B$15,1))</f>
        <v/>
      </c>
      <c r="G15" s="35">
        <f>IF(MIN(S4_Encoded!G14,S4_Encoded!H14)&gt;=0,"none (all protective)",IF(S4_Encoded!G14&lt;=S4_Encoded!H14,"Debt","Emp"))</f>
        <v/>
      </c>
    </row>
    <row r="16">
      <c r="D16" s="13">
        <f>S7_Scorecard!A17</f>
        <v/>
      </c>
      <c r="E16" s="44">
        <f>S7_Scorecard!E17</f>
        <v/>
      </c>
      <c r="F16" s="40">
        <f>INDEX($A$6:$A$15,MATCH(E16,$B$6:$B$15,1))</f>
        <v/>
      </c>
      <c r="G16" s="35">
        <f>IF(MIN(S4_Encoded!G15,S4_Encoded!H15)&gt;=0,"none (all protective)",IF(S4_Encoded!G15&lt;=S4_Encoded!H15,"Debt","Emp"))</f>
        <v/>
      </c>
    </row>
    <row r="17">
      <c r="D17" s="13">
        <f>S7_Scorecard!A18</f>
        <v/>
      </c>
      <c r="E17" s="44">
        <f>S7_Scorecard!E18</f>
        <v/>
      </c>
      <c r="F17" s="40">
        <f>INDEX($A$6:$A$15,MATCH(E17,$B$6:$B$15,1))</f>
        <v/>
      </c>
      <c r="G17" s="35">
        <f>IF(MIN(S4_Encoded!G16,S4_Encoded!H16)&gt;=0,"none (all protective)",IF(S4_Encoded!G16&lt;=S4_Encoded!H16,"Debt","Emp"))</f>
        <v/>
      </c>
    </row>
    <row r="18">
      <c r="D18" s="13">
        <f>S7_Scorecard!A19</f>
        <v/>
      </c>
      <c r="E18" s="44">
        <f>S7_Scorecard!E19</f>
        <v/>
      </c>
      <c r="F18" s="40">
        <f>INDEX($A$6:$A$15,MATCH(E18,$B$6:$B$15,1))</f>
        <v/>
      </c>
      <c r="G18" s="35">
        <f>IF(MIN(S4_Encoded!G17,S4_Encoded!H17)&gt;=0,"none (all protective)",IF(S4_Encoded!G17&lt;=S4_Encoded!H17,"Debt","Emp"))</f>
        <v/>
      </c>
    </row>
    <row r="19">
      <c r="D19" s="13">
        <f>S7_Scorecard!A20</f>
        <v/>
      </c>
      <c r="E19" s="44">
        <f>S7_Scorecard!E20</f>
        <v/>
      </c>
      <c r="F19" s="40">
        <f>INDEX($A$6:$A$15,MATCH(E19,$B$6:$B$15,1))</f>
        <v/>
      </c>
      <c r="G19" s="35">
        <f>IF(MIN(S4_Encoded!G18,S4_Encoded!H18)&gt;=0,"none (all protective)",IF(S4_Encoded!G18&lt;=S4_Encoded!H18,"Debt","Emp"))</f>
        <v/>
      </c>
    </row>
    <row r="20">
      <c r="D20" s="13">
        <f>S7_Scorecard!A21</f>
        <v/>
      </c>
      <c r="E20" s="44">
        <f>S7_Scorecard!E21</f>
        <v/>
      </c>
      <c r="F20" s="40">
        <f>INDEX($A$6:$A$15,MATCH(E20,$B$6:$B$15,1))</f>
        <v/>
      </c>
      <c r="G20" s="35">
        <f>IF(MIN(S4_Encoded!G19,S4_Encoded!H19)&gt;=0,"none (all protective)",IF(S4_Encoded!G19&lt;=S4_Encoded!H19,"Debt","Emp"))</f>
        <v/>
      </c>
    </row>
    <row r="21">
      <c r="D21" s="13">
        <f>S7_Scorecard!A22</f>
        <v/>
      </c>
      <c r="E21" s="44">
        <f>S7_Scorecard!E22</f>
        <v/>
      </c>
      <c r="F21" s="40">
        <f>INDEX($A$6:$A$15,MATCH(E21,$B$6:$B$15,1))</f>
        <v/>
      </c>
      <c r="G21" s="35">
        <f>IF(MIN(S4_Encoded!G20,S4_Encoded!H20)&gt;=0,"none (all protective)",IF(S4_Encoded!G20&lt;=S4_Encoded!H20,"Debt","Emp"))</f>
        <v/>
      </c>
    </row>
    <row r="22">
      <c r="D22" s="13">
        <f>S7_Scorecard!A23</f>
        <v/>
      </c>
      <c r="E22" s="44">
        <f>S7_Scorecard!E23</f>
        <v/>
      </c>
      <c r="F22" s="40">
        <f>INDEX($A$6:$A$15,MATCH(E22,$B$6:$B$15,1))</f>
        <v/>
      </c>
      <c r="G22" s="35">
        <f>IF(MIN(S4_Encoded!G21,S4_Encoded!H21)&gt;=0,"none (all protective)",IF(S4_Encoded!G21&lt;=S4_Encoded!H21,"Debt","Emp"))</f>
        <v/>
      </c>
    </row>
    <row r="23">
      <c r="D23" s="13">
        <f>S7_Scorecard!A24</f>
        <v/>
      </c>
      <c r="E23" s="44">
        <f>S7_Scorecard!E24</f>
        <v/>
      </c>
      <c r="F23" s="40">
        <f>INDEX($A$6:$A$15,MATCH(E23,$B$6:$B$15,1))</f>
        <v/>
      </c>
      <c r="G23" s="35">
        <f>IF(MIN(S4_Encoded!G22,S4_Encoded!H22)&gt;=0,"none (all protective)",IF(S4_Encoded!G22&lt;=S4_Encoded!H22,"Debt","Emp"))</f>
        <v/>
      </c>
    </row>
    <row r="24">
      <c r="D24" s="13">
        <f>S7_Scorecard!A25</f>
        <v/>
      </c>
      <c r="E24" s="44">
        <f>S7_Scorecard!E25</f>
        <v/>
      </c>
      <c r="F24" s="40">
        <f>INDEX($A$6:$A$15,MATCH(E24,$B$6:$B$15,1))</f>
        <v/>
      </c>
      <c r="G24" s="35">
        <f>IF(MIN(S4_Encoded!G23,S4_Encoded!H23)&gt;=0,"none (all protective)",IF(S4_Encoded!G23&lt;=S4_Encoded!H23,"Debt","Emp"))</f>
        <v/>
      </c>
    </row>
    <row r="25">
      <c r="D25" s="13">
        <f>S7_Scorecard!A26</f>
        <v/>
      </c>
      <c r="E25" s="44">
        <f>S7_Scorecard!E26</f>
        <v/>
      </c>
      <c r="F25" s="40">
        <f>INDEX($A$6:$A$15,MATCH(E25,$B$6:$B$15,1))</f>
        <v/>
      </c>
      <c r="G25" s="35">
        <f>IF(MIN(S4_Encoded!G24,S4_Encoded!H24)&gt;=0,"none (all protective)",IF(S4_Encoded!G24&lt;=S4_Encoded!H24,"Debt","Emp"))</f>
        <v/>
      </c>
    </row>
    <row r="26">
      <c r="D26" s="13">
        <f>S7_Scorecard!A27</f>
        <v/>
      </c>
      <c r="E26" s="44">
        <f>S7_Scorecard!E27</f>
        <v/>
      </c>
      <c r="F26" s="40">
        <f>INDEX($A$6:$A$15,MATCH(E26,$B$6:$B$15,1))</f>
        <v/>
      </c>
      <c r="G26" s="35">
        <f>IF(MIN(S4_Encoded!G25,S4_Encoded!H25)&gt;=0,"none (all protective)",IF(S4_Encoded!G25&lt;=S4_Encoded!H25,"Debt","Emp"))</f>
        <v/>
      </c>
    </row>
    <row r="27">
      <c r="D27" s="13">
        <f>S7_Scorecard!A28</f>
        <v/>
      </c>
      <c r="E27" s="44">
        <f>S7_Scorecard!E28</f>
        <v/>
      </c>
      <c r="F27" s="40">
        <f>INDEX($A$6:$A$15,MATCH(E27,$B$6:$B$15,1))</f>
        <v/>
      </c>
      <c r="G27" s="35">
        <f>IF(MIN(S4_Encoded!G26,S4_Encoded!H26)&gt;=0,"none (all protective)",IF(S4_Encoded!G26&lt;=S4_Encoded!H26,"Debt","Emp"))</f>
        <v/>
      </c>
    </row>
    <row r="28">
      <c r="D28" s="13">
        <f>S7_Scorecard!A29</f>
        <v/>
      </c>
      <c r="E28" s="44">
        <f>S7_Scorecard!E29</f>
        <v/>
      </c>
      <c r="F28" s="40">
        <f>INDEX($A$6:$A$15,MATCH(E28,$B$6:$B$15,1))</f>
        <v/>
      </c>
      <c r="G28" s="35">
        <f>IF(MIN(S4_Encoded!G27,S4_Encoded!H27)&gt;=0,"none (all protective)",IF(S4_Encoded!G27&lt;=S4_Encoded!H27,"Debt","Emp"))</f>
        <v/>
      </c>
    </row>
    <row r="29">
      <c r="D29" s="13">
        <f>S7_Scorecard!A30</f>
        <v/>
      </c>
      <c r="E29" s="44">
        <f>S7_Scorecard!E30</f>
        <v/>
      </c>
      <c r="F29" s="40">
        <f>INDEX($A$6:$A$15,MATCH(E29,$B$6:$B$15,1))</f>
        <v/>
      </c>
      <c r="G29" s="35">
        <f>IF(MIN(S4_Encoded!G28,S4_Encoded!H28)&gt;=0,"none (all protective)",IF(S4_Encoded!G28&lt;=S4_Encoded!H28,"Debt","Emp"))</f>
        <v/>
      </c>
    </row>
  </sheetData>
  <mergeCells count="2">
    <mergeCell ref="A4:B4"/>
    <mergeCell ref="D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S9 · Gate G4 — per-grade calibration backtest</t>
        </is>
      </c>
    </row>
    <row r="2">
      <c r="A2" s="2" t="inlineStr">
        <is>
          <t>For each grade that appears: how many applicants, their observed default rate with a Wilson 95% CI, and the mean predicted PD. z = 1.96.</t>
        </is>
      </c>
    </row>
    <row r="4">
      <c r="A4" s="6" t="inlineStr">
        <is>
          <t>z (95%)</t>
        </is>
      </c>
      <c r="B4" s="43" t="n">
        <v>1.96</v>
      </c>
    </row>
    <row r="6">
      <c r="A6" s="12" t="inlineStr">
        <is>
          <t>Grade</t>
        </is>
      </c>
      <c r="B6" s="12" t="inlineStr">
        <is>
          <t>n</t>
        </is>
      </c>
      <c r="C6" s="12" t="inlineStr">
        <is>
          <t>defaults</t>
        </is>
      </c>
      <c r="D6" s="12" t="inlineStr">
        <is>
          <t>observed PD</t>
        </is>
      </c>
      <c r="E6" s="12" t="inlineStr">
        <is>
          <t>Wilson low</t>
        </is>
      </c>
      <c r="F6" s="12" t="inlineStr">
        <is>
          <t>Wilson high</t>
        </is>
      </c>
      <c r="G6" s="12" t="inlineStr">
        <is>
          <t>mean pred PD</t>
        </is>
      </c>
      <c r="H6" s="12" t="inlineStr">
        <is>
          <t>pred in CI?</t>
        </is>
      </c>
    </row>
    <row r="7">
      <c r="A7" s="13" t="inlineStr">
        <is>
          <t>AAA</t>
        </is>
      </c>
      <c r="B7" s="13">
        <f>COUNTIF(S8_Grades!$F$6:$F$29,A7)</f>
        <v/>
      </c>
      <c r="C7" s="13">
        <f>SUMPRODUCT((S8_Grades!$F$6:$F$29=A7)*S4_Encoded!$E$5:$E$28)</f>
        <v/>
      </c>
      <c r="D7" s="22">
        <f>IFERROR(C7/B7,0)</f>
        <v/>
      </c>
      <c r="E7" s="22">
        <f>IFERROR((D7+$B$4^2/(2*B7)-$B$4*SQRT(D7*(1-D7)/B7+$B$4^2/(4*B7^2)))/(1+$B$4^2/B7),"")</f>
        <v/>
      </c>
      <c r="F7" s="22">
        <f>IFERROR((D7+$B$4^2/(2*B7)+$B$4*SQRT(D7*(1-D7)/B7+$B$4^2/(4*B7^2)))/(1+$B$4^2/B7),"")</f>
        <v/>
      </c>
      <c r="G7" s="44">
        <f>IFERROR(SUMPRODUCT((S8_Grades!$F$6:$F$29=A7)*S8_Grades!$E$6:$E$29)/B7,0)</f>
        <v/>
      </c>
      <c r="H7" s="30">
        <f>IF(B7=0,"",IF(AND(G7&gt;=E7,G7&lt;=F7),"yes","NO"))</f>
        <v/>
      </c>
    </row>
    <row r="8">
      <c r="A8" s="13" t="inlineStr">
        <is>
          <t>AA</t>
        </is>
      </c>
      <c r="B8" s="13">
        <f>COUNTIF(S8_Grades!$F$6:$F$29,A8)</f>
        <v/>
      </c>
      <c r="C8" s="13">
        <f>SUMPRODUCT((S8_Grades!$F$6:$F$29=A8)*S4_Encoded!$E$5:$E$28)</f>
        <v/>
      </c>
      <c r="D8" s="22">
        <f>IFERROR(C8/B8,0)</f>
        <v/>
      </c>
      <c r="E8" s="22">
        <f>IFERROR((D8+$B$4^2/(2*B8)-$B$4*SQRT(D8*(1-D8)/B8+$B$4^2/(4*B8^2)))/(1+$B$4^2/B8),"")</f>
        <v/>
      </c>
      <c r="F8" s="22">
        <f>IFERROR((D8+$B$4^2/(2*B8)+$B$4*SQRT(D8*(1-D8)/B8+$B$4^2/(4*B8^2)))/(1+$B$4^2/B8),"")</f>
        <v/>
      </c>
      <c r="G8" s="44">
        <f>IFERROR(SUMPRODUCT((S8_Grades!$F$6:$F$29=A8)*S8_Grades!$E$6:$E$29)/B8,0)</f>
        <v/>
      </c>
      <c r="H8" s="30">
        <f>IF(B8=0,"",IF(AND(G8&gt;=E8,G8&lt;=F8),"yes","NO"))</f>
        <v/>
      </c>
    </row>
    <row r="9">
      <c r="A9" s="13" t="inlineStr">
        <is>
          <t>A</t>
        </is>
      </c>
      <c r="B9" s="13">
        <f>COUNTIF(S8_Grades!$F$6:$F$29,A9)</f>
        <v/>
      </c>
      <c r="C9" s="13">
        <f>SUMPRODUCT((S8_Grades!$F$6:$F$29=A9)*S4_Encoded!$E$5:$E$28)</f>
        <v/>
      </c>
      <c r="D9" s="22">
        <f>IFERROR(C9/B9,0)</f>
        <v/>
      </c>
      <c r="E9" s="22">
        <f>IFERROR((D9+$B$4^2/(2*B9)-$B$4*SQRT(D9*(1-D9)/B9+$B$4^2/(4*B9^2)))/(1+$B$4^2/B9),"")</f>
        <v/>
      </c>
      <c r="F9" s="22">
        <f>IFERROR((D9+$B$4^2/(2*B9)+$B$4*SQRT(D9*(1-D9)/B9+$B$4^2/(4*B9^2)))/(1+$B$4^2/B9),"")</f>
        <v/>
      </c>
      <c r="G9" s="44">
        <f>IFERROR(SUMPRODUCT((S8_Grades!$F$6:$F$29=A9)*S8_Grades!$E$6:$E$29)/B9,0)</f>
        <v/>
      </c>
      <c r="H9" s="30">
        <f>IF(B9=0,"",IF(AND(G9&gt;=E9,G9&lt;=F9),"yes","NO"))</f>
        <v/>
      </c>
    </row>
    <row r="10">
      <c r="A10" s="13" t="inlineStr">
        <is>
          <t>BBB</t>
        </is>
      </c>
      <c r="B10" s="13">
        <f>COUNTIF(S8_Grades!$F$6:$F$29,A10)</f>
        <v/>
      </c>
      <c r="C10" s="13">
        <f>SUMPRODUCT((S8_Grades!$F$6:$F$29=A10)*S4_Encoded!$E$5:$E$28)</f>
        <v/>
      </c>
      <c r="D10" s="22">
        <f>IFERROR(C10/B10,0)</f>
        <v/>
      </c>
      <c r="E10" s="22">
        <f>IFERROR((D10+$B$4^2/(2*B10)-$B$4*SQRT(D10*(1-D10)/B10+$B$4^2/(4*B10^2)))/(1+$B$4^2/B10),"")</f>
        <v/>
      </c>
      <c r="F10" s="22">
        <f>IFERROR((D10+$B$4^2/(2*B10)+$B$4*SQRT(D10*(1-D10)/B10+$B$4^2/(4*B10^2)))/(1+$B$4^2/B10),"")</f>
        <v/>
      </c>
      <c r="G10" s="44">
        <f>IFERROR(SUMPRODUCT((S8_Grades!$F$6:$F$29=A10)*S8_Grades!$E$6:$E$29)/B10,0)</f>
        <v/>
      </c>
      <c r="H10" s="30">
        <f>IF(B10=0,"",IF(AND(G10&gt;=E10,G10&lt;=F10),"yes","NO"))</f>
        <v/>
      </c>
    </row>
    <row r="11">
      <c r="A11" s="13" t="inlineStr">
        <is>
          <t>BB</t>
        </is>
      </c>
      <c r="B11" s="13">
        <f>COUNTIF(S8_Grades!$F$6:$F$29,A11)</f>
        <v/>
      </c>
      <c r="C11" s="13">
        <f>SUMPRODUCT((S8_Grades!$F$6:$F$29=A11)*S4_Encoded!$E$5:$E$28)</f>
        <v/>
      </c>
      <c r="D11" s="22">
        <f>IFERROR(C11/B11,0)</f>
        <v/>
      </c>
      <c r="E11" s="22">
        <f>IFERROR((D11+$B$4^2/(2*B11)-$B$4*SQRT(D11*(1-D11)/B11+$B$4^2/(4*B11^2)))/(1+$B$4^2/B11),"")</f>
        <v/>
      </c>
      <c r="F11" s="22">
        <f>IFERROR((D11+$B$4^2/(2*B11)+$B$4*SQRT(D11*(1-D11)/B11+$B$4^2/(4*B11^2)))/(1+$B$4^2/B11),"")</f>
        <v/>
      </c>
      <c r="G11" s="44">
        <f>IFERROR(SUMPRODUCT((S8_Grades!$F$6:$F$29=A11)*S8_Grades!$E$6:$E$29)/B11,0)</f>
        <v/>
      </c>
      <c r="H11" s="30">
        <f>IF(B11=0,"",IF(AND(G11&gt;=E11,G11&lt;=F11),"yes","NO"))</f>
        <v/>
      </c>
    </row>
    <row r="12">
      <c r="A12" s="13" t="inlineStr">
        <is>
          <t>B</t>
        </is>
      </c>
      <c r="B12" s="13">
        <f>COUNTIF(S8_Grades!$F$6:$F$29,A12)</f>
        <v/>
      </c>
      <c r="C12" s="13">
        <f>SUMPRODUCT((S8_Grades!$F$6:$F$29=A12)*S4_Encoded!$E$5:$E$28)</f>
        <v/>
      </c>
      <c r="D12" s="22">
        <f>IFERROR(C12/B12,0)</f>
        <v/>
      </c>
      <c r="E12" s="22">
        <f>IFERROR((D12+$B$4^2/(2*B12)-$B$4*SQRT(D12*(1-D12)/B12+$B$4^2/(4*B12^2)))/(1+$B$4^2/B12),"")</f>
        <v/>
      </c>
      <c r="F12" s="22">
        <f>IFERROR((D12+$B$4^2/(2*B12)+$B$4*SQRT(D12*(1-D12)/B12+$B$4^2/(4*B12^2)))/(1+$B$4^2/B12),"")</f>
        <v/>
      </c>
      <c r="G12" s="44">
        <f>IFERROR(SUMPRODUCT((S8_Grades!$F$6:$F$29=A12)*S8_Grades!$E$6:$E$29)/B12,0)</f>
        <v/>
      </c>
      <c r="H12" s="30">
        <f>IF(B12=0,"",IF(AND(G12&gt;=E12,G12&lt;=F12),"yes","NO"))</f>
        <v/>
      </c>
    </row>
    <row r="13">
      <c r="A13" s="13" t="inlineStr">
        <is>
          <t>CCC</t>
        </is>
      </c>
      <c r="B13" s="13">
        <f>COUNTIF(S8_Grades!$F$6:$F$29,A13)</f>
        <v/>
      </c>
      <c r="C13" s="13">
        <f>SUMPRODUCT((S8_Grades!$F$6:$F$29=A13)*S4_Encoded!$E$5:$E$28)</f>
        <v/>
      </c>
      <c r="D13" s="22">
        <f>IFERROR(C13/B13,0)</f>
        <v/>
      </c>
      <c r="E13" s="22">
        <f>IFERROR((D13+$B$4^2/(2*B13)-$B$4*SQRT(D13*(1-D13)/B13+$B$4^2/(4*B13^2)))/(1+$B$4^2/B13),"")</f>
        <v/>
      </c>
      <c r="F13" s="22">
        <f>IFERROR((D13+$B$4^2/(2*B13)+$B$4*SQRT(D13*(1-D13)/B13+$B$4^2/(4*B13^2)))/(1+$B$4^2/B13),"")</f>
        <v/>
      </c>
      <c r="G13" s="44">
        <f>IFERROR(SUMPRODUCT((S8_Grades!$F$6:$F$29=A13)*S8_Grades!$E$6:$E$29)/B13,0)</f>
        <v/>
      </c>
      <c r="H13" s="30">
        <f>IF(B13=0,"",IF(AND(G13&gt;=E13,G13&lt;=F13),"yes","NO"))</f>
        <v/>
      </c>
    </row>
    <row r="14">
      <c r="A14" s="13" t="inlineStr">
        <is>
          <t>CC</t>
        </is>
      </c>
      <c r="B14" s="13">
        <f>COUNTIF(S8_Grades!$F$6:$F$29,A14)</f>
        <v/>
      </c>
      <c r="C14" s="13">
        <f>SUMPRODUCT((S8_Grades!$F$6:$F$29=A14)*S4_Encoded!$E$5:$E$28)</f>
        <v/>
      </c>
      <c r="D14" s="22">
        <f>IFERROR(C14/B14,0)</f>
        <v/>
      </c>
      <c r="E14" s="22">
        <f>IFERROR((D14+$B$4^2/(2*B14)-$B$4*SQRT(D14*(1-D14)/B14+$B$4^2/(4*B14^2)))/(1+$B$4^2/B14),"")</f>
        <v/>
      </c>
      <c r="F14" s="22">
        <f>IFERROR((D14+$B$4^2/(2*B14)+$B$4*SQRT(D14*(1-D14)/B14+$B$4^2/(4*B14^2)))/(1+$B$4^2/B14),"")</f>
        <v/>
      </c>
      <c r="G14" s="44">
        <f>IFERROR(SUMPRODUCT((S8_Grades!$F$6:$F$29=A14)*S8_Grades!$E$6:$E$29)/B14,0)</f>
        <v/>
      </c>
      <c r="H14" s="30">
        <f>IF(B14=0,"",IF(AND(G14&gt;=E14,G14&lt;=F14),"yes","NO"))</f>
        <v/>
      </c>
    </row>
    <row r="15">
      <c r="A15" s="13" t="inlineStr">
        <is>
          <t>C</t>
        </is>
      </c>
      <c r="B15" s="13">
        <f>COUNTIF(S8_Grades!$F$6:$F$29,A15)</f>
        <v/>
      </c>
      <c r="C15" s="13">
        <f>SUMPRODUCT((S8_Grades!$F$6:$F$29=A15)*S4_Encoded!$E$5:$E$28)</f>
        <v/>
      </c>
      <c r="D15" s="22">
        <f>IFERROR(C15/B15,0)</f>
        <v/>
      </c>
      <c r="E15" s="22">
        <f>IFERROR((D15+$B$4^2/(2*B15)-$B$4*SQRT(D15*(1-D15)/B15+$B$4^2/(4*B15^2)))/(1+$B$4^2/B15),"")</f>
        <v/>
      </c>
      <c r="F15" s="22">
        <f>IFERROR((D15+$B$4^2/(2*B15)+$B$4*SQRT(D15*(1-D15)/B15+$B$4^2/(4*B15^2)))/(1+$B$4^2/B15),"")</f>
        <v/>
      </c>
      <c r="G15" s="44">
        <f>IFERROR(SUMPRODUCT((S8_Grades!$F$6:$F$29=A15)*S8_Grades!$E$6:$E$29)/B15,0)</f>
        <v/>
      </c>
      <c r="H15" s="30">
        <f>IF(B15=0,"",IF(AND(G15&gt;=E15,G15&lt;=F15),"yes","NO"))</f>
        <v/>
      </c>
    </row>
    <row r="16">
      <c r="A16" s="13" t="inlineStr">
        <is>
          <t>D</t>
        </is>
      </c>
      <c r="B16" s="13">
        <f>COUNTIF(S8_Grades!$F$6:$F$29,A16)</f>
        <v/>
      </c>
      <c r="C16" s="13">
        <f>SUMPRODUCT((S8_Grades!$F$6:$F$29=A16)*S4_Encoded!$E$5:$E$28)</f>
        <v/>
      </c>
      <c r="D16" s="22">
        <f>IFERROR(C16/B16,0)</f>
        <v/>
      </c>
      <c r="E16" s="22">
        <f>IFERROR((D16+$B$4^2/(2*B16)-$B$4*SQRT(D16*(1-D16)/B16+$B$4^2/(4*B16^2)))/(1+$B$4^2/B16),"")</f>
        <v/>
      </c>
      <c r="F16" s="22">
        <f>IFERROR((D16+$B$4^2/(2*B16)+$B$4*SQRT(D16*(1-D16)/B16+$B$4^2/(4*B16^2)))/(1+$B$4^2/B16),"")</f>
        <v/>
      </c>
      <c r="G16" s="44">
        <f>IFERROR(SUMPRODUCT((S8_Grades!$F$6:$F$29=A16)*S8_Grades!$E$6:$E$29)/B16,0)</f>
        <v/>
      </c>
      <c r="H16" s="30">
        <f>IF(B16=0,"",IF(AND(G16&gt;=E16,G16&lt;=F16),"yes","NO"))</f>
        <v/>
      </c>
    </row>
    <row r="18">
      <c r="A18" s="6" t="inlineStr">
        <is>
          <t>ECE (expected calibration error)</t>
        </is>
      </c>
      <c r="B18" s="14" t="n"/>
      <c r="C18" s="15" t="n"/>
      <c r="D18" s="46">
        <f>SUMPRODUCT((B7:B16/S1_Input!$B$4)*ABS(D7:D16-G7:G16))</f>
        <v/>
      </c>
    </row>
    <row r="19">
      <c r="A19" s="11" t="inlineStr">
        <is>
          <t>Teaching note: here the model is calibrated and backtested on the SAME 24 rows, so ECE is ~0 by construction. The real pipeline uses an 80/20 split (seed 42), where ECE and Hosmer-Lemeshow genuinely test the fit.</t>
        </is>
      </c>
    </row>
    <row r="20">
      <c r="A20" s="11" t="inlineStr">
        <is>
          <t>Fairness (AIR) applies when a protected attribute is present (EEOC four-fifths, AIR ≥ 0.80). This toy set has none; see S2 for the ECOA/EDDSS rule.</t>
        </is>
      </c>
    </row>
  </sheetData>
  <mergeCells count="3">
    <mergeCell ref="A18:C18"/>
    <mergeCell ref="A20:H20"/>
    <mergeCell ref="A19:H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S10 · Gate GF — governed verdict (recommendation)</t>
        </is>
      </c>
    </row>
    <row r="2">
      <c r="A2" s="2" t="inlineStr">
        <is>
          <t>The numbers roll up here. The verdict is a recommendation the human signer rules on; it is recorded on a hash-chained ledger (illustrated below).</t>
        </is>
      </c>
    </row>
    <row r="4">
      <c r="A4" s="6" t="inlineStr">
        <is>
          <t>Materiality tier</t>
        </is>
      </c>
      <c r="B4" s="7">
        <f>S2_Governance!B19</f>
        <v/>
      </c>
    </row>
    <row r="5">
      <c r="A5" s="6" t="inlineStr">
        <is>
          <t>EPV</t>
        </is>
      </c>
      <c r="B5" s="10">
        <f>S1_Input!B8</f>
        <v/>
      </c>
    </row>
    <row r="6">
      <c r="A6" s="6" t="inlineStr">
        <is>
          <t>Full-model AUC</t>
        </is>
      </c>
      <c r="B6" s="29">
        <f>S5b_Engine!$X$31</f>
        <v/>
      </c>
    </row>
    <row r="7">
      <c r="A7" s="6" t="inlineStr">
        <is>
          <t>Full-model Gini</t>
        </is>
      </c>
      <c r="B7" s="29">
        <f>2*B6-1</f>
        <v/>
      </c>
    </row>
    <row r="8">
      <c r="A8" s="6" t="inlineStr">
        <is>
          <t>Calibration ECE</t>
        </is>
      </c>
      <c r="B8" s="47">
        <f>S9_Backtest!D18</f>
        <v/>
      </c>
    </row>
    <row r="9">
      <c r="A9" s="6" t="inlineStr">
        <is>
          <t>Shadow test (real &gt; noise?)</t>
        </is>
      </c>
      <c r="B9" s="7">
        <f>IF(AND(S5_Shapley!D5="CONFIRMED",S5_Shapley!D6="CONFIRMED",S5_Shapley!D7="CONFIRMED"),"all pass","check")</f>
        <v/>
      </c>
    </row>
    <row r="11">
      <c r="A11" s="48" t="inlineStr">
        <is>
          <t>Recommended verdict</t>
        </is>
      </c>
      <c r="B11" s="49">
        <f>IF(B7&lt;=0,"NO-GO (no signal)",IF(AND(B4="HIGH",OR(B5&lt;10,B7&lt;0.6)),"NO-GO (fails HIGH-tier bars)",IF(B7&gt;=0.3,"GO-WITH-CONDITIONS","NO-GO (too weak)")))</f>
        <v/>
      </c>
      <c r="C11" s="50" t="n"/>
      <c r="D11" s="50" t="n"/>
      <c r="E11" s="51" t="n"/>
    </row>
    <row r="12">
      <c r="A12" s="52" t="n"/>
      <c r="B12" s="53" t="n"/>
      <c r="C12" s="54" t="n"/>
      <c r="D12" s="54" t="n"/>
      <c r="E12" s="55" t="n"/>
    </row>
    <row r="13">
      <c r="A13" s="6" t="inlineStr">
        <is>
          <t>Conditions carried (example)</t>
        </is>
      </c>
      <c r="B13" s="14" t="n"/>
      <c r="C13" s="14" t="n"/>
      <c r="D13" s="14" t="n"/>
      <c r="E13" s="15" t="n"/>
    </row>
    <row r="14">
      <c r="A14" s="56" t="inlineStr">
        <is>
          <t>• EPV below 10 — small-sample caveat (this is a 24-row teaching set).</t>
        </is>
      </c>
    </row>
    <row r="15">
      <c r="A15" s="56" t="inlineStr">
        <is>
          <t>• PDs are indicative; recalibrate on a larger sample before any real use.</t>
        </is>
      </c>
    </row>
    <row r="16">
      <c r="A16" s="56" t="inlineStr">
        <is>
          <t>• Benchmark/teaching only — not for live lending.</t>
        </is>
      </c>
    </row>
    <row r="17">
      <c r="A17" s="56" t="inlineStr">
        <is>
          <t>• Verdict is a recommendation; a human signer rules and signs at GF.</t>
        </is>
      </c>
    </row>
    <row r="19">
      <c r="A19" s="6" t="inlineStr">
        <is>
          <t>Hash-chained ledger (how each gate is sealed)</t>
        </is>
      </c>
      <c r="B19" s="14" t="n"/>
      <c r="C19" s="14" t="n"/>
      <c r="D19" s="14" t="n"/>
      <c r="E19" s="15" t="n"/>
    </row>
    <row r="20">
      <c r="A20" s="57" t="inlineStr">
        <is>
          <t>Each gate's decision is recorded as entry_hash = SHA-256(previous_hash + decision_text), first 8 characters — so the record cannot be edited after signing. Excel does not compute SHA-256; the real engine does (see the AEGIS run logs).</t>
        </is>
      </c>
    </row>
    <row r="21"/>
    <row r="22"/>
  </sheetData>
  <mergeCells count="9">
    <mergeCell ref="A15:H15"/>
    <mergeCell ref="A16:H16"/>
    <mergeCell ref="A19:E19"/>
    <mergeCell ref="A20:H22"/>
    <mergeCell ref="A14:H14"/>
    <mergeCell ref="A13:E13"/>
    <mergeCell ref="B11:E12"/>
    <mergeCell ref="A11:A12"/>
    <mergeCell ref="A17:H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" customWidth="1" min="3" max="3"/>
    <col width="12" customWidth="1" min="4" max="4"/>
    <col width="60" customWidth="1" min="5" max="5"/>
  </cols>
  <sheetData>
    <row r="1">
      <c r="A1" s="1" t="inlineStr">
        <is>
          <t>S11 · thresholds &amp; glossary</t>
        </is>
      </c>
    </row>
    <row r="2">
      <c r="A2" s="2" t="inlineStr">
        <is>
          <t>Every fixed rule used in the flow, and a one-line definition of each term. Mirrors the PDF appendix.</t>
        </is>
      </c>
    </row>
    <row r="4">
      <c r="A4" s="6" t="inlineStr">
        <is>
          <t>Fixed thresholds</t>
        </is>
      </c>
      <c r="B4" s="15" t="n"/>
      <c r="D4" s="6" t="inlineStr">
        <is>
          <t>Glossary</t>
        </is>
      </c>
      <c r="E4" s="15" t="n"/>
    </row>
    <row r="5">
      <c r="A5" s="16" t="inlineStr">
        <is>
          <t>Seed (all stages)</t>
        </is>
      </c>
      <c r="B5" s="17" t="inlineStr">
        <is>
          <t>42</t>
        </is>
      </c>
      <c r="D5" s="16" t="inlineStr">
        <is>
          <t>WOE</t>
        </is>
      </c>
      <c r="E5" s="58" t="inlineStr">
        <is>
          <t>weight of evidence; ln(%good / %bad) in a bin.</t>
        </is>
      </c>
    </row>
    <row r="6">
      <c r="A6" s="16" t="inlineStr">
        <is>
          <t>CV folds</t>
        </is>
      </c>
      <c r="B6" s="17" t="inlineStr">
        <is>
          <t>5 (stratified)</t>
        </is>
      </c>
      <c r="D6" s="16" t="inlineStr">
        <is>
          <t>IV</t>
        </is>
      </c>
      <c r="E6" s="58" t="inlineStr">
        <is>
          <t>information value; how strongly a feature separates good from bad.</t>
        </is>
      </c>
    </row>
    <row r="7">
      <c r="A7" s="16" t="inlineStr">
        <is>
          <t>IV screen</t>
        </is>
      </c>
      <c r="B7" s="17" t="inlineStr">
        <is>
          <t>≥ 0.02</t>
        </is>
      </c>
      <c r="D7" s="16" t="inlineStr">
        <is>
          <t>AUC</t>
        </is>
      </c>
      <c r="E7" s="58" t="inlineStr">
        <is>
          <t>P(model ranks a random bad above a random good); 0.5 = chance.</t>
        </is>
      </c>
    </row>
    <row r="8">
      <c r="A8" s="16" t="inlineStr">
        <is>
          <t>χ² reliability gate</t>
        </is>
      </c>
      <c r="B8" s="17" t="inlineStr">
        <is>
          <t>min expected cell ≥ 5</t>
        </is>
      </c>
      <c r="D8" s="16" t="inlineStr">
        <is>
          <t>Gini</t>
        </is>
      </c>
      <c r="E8" s="58" t="inlineStr">
        <is>
          <t>2·AUC − 1; rank-ordering power.</t>
        </is>
      </c>
    </row>
    <row r="9">
      <c r="A9" s="16" t="inlineStr">
        <is>
          <t>Correlation cluster cut</t>
        </is>
      </c>
      <c r="B9" s="17" t="inlineStr">
        <is>
          <t>|Spearman ρ| = 0.7</t>
        </is>
      </c>
      <c r="D9" s="16" t="inlineStr">
        <is>
          <t>Shapley</t>
        </is>
      </c>
      <c r="E9" s="58" t="inlineStr">
        <is>
          <t>a feature's fair share of performance over all teams.</t>
        </is>
      </c>
    </row>
    <row r="10">
      <c r="A10" s="16" t="inlineStr">
        <is>
          <t>Shadow players</t>
        </is>
      </c>
      <c r="B10" s="17" t="inlineStr">
        <is>
          <t>≥ 10 (one here)</t>
        </is>
      </c>
      <c r="D10" s="16" t="inlineStr">
        <is>
          <t>Shadow-null</t>
        </is>
      </c>
      <c r="E10" s="58" t="inlineStr">
        <is>
          <t>keep a feature only if it beats a random decoy.</t>
        </is>
      </c>
    </row>
    <row r="11">
      <c r="A11" s="16" t="inlineStr">
        <is>
          <t>Shadow-null bar</t>
        </is>
      </c>
      <c r="B11" s="17" t="inlineStr">
        <is>
          <t>95th pct of shadow Shapley</t>
        </is>
      </c>
      <c r="D11" s="16" t="inlineStr">
        <is>
          <t>Parsimony</t>
        </is>
      </c>
      <c r="E11" s="58" t="inlineStr">
        <is>
          <t>smallest feature set within the Gini tolerance.</t>
        </is>
      </c>
    </row>
    <row r="12">
      <c r="A12" s="16" t="inlineStr">
        <is>
          <t>Confirmation frequency</t>
        </is>
      </c>
      <c r="B12" s="17" t="inlineStr">
        <is>
          <t>≥ 0.80</t>
        </is>
      </c>
      <c r="D12" s="16" t="inlineStr">
        <is>
          <t>PD</t>
        </is>
      </c>
      <c r="E12" s="58" t="inlineStr">
        <is>
          <t>probability of default (calibrated).</t>
        </is>
      </c>
    </row>
    <row r="13">
      <c r="A13" s="16" t="inlineStr">
        <is>
          <t>Exact Shapley cutoff</t>
        </is>
      </c>
      <c r="B13" s="17" t="inlineStr">
        <is>
          <t>≤ 15 players</t>
        </is>
      </c>
      <c r="D13" s="16" t="inlineStr">
        <is>
          <t>Wilson CI</t>
        </is>
      </c>
      <c r="E13" s="58" t="inlineStr">
        <is>
          <t>confidence interval for a rate on small samples.</t>
        </is>
      </c>
    </row>
    <row r="14">
      <c r="A14" s="16" t="inlineStr">
        <is>
          <t>Parsimony DeLong</t>
        </is>
      </c>
      <c r="B14" s="17" t="inlineStr">
        <is>
          <t>α = 0.05</t>
        </is>
      </c>
      <c r="D14" s="16" t="inlineStr">
        <is>
          <t>ECE</t>
        </is>
      </c>
      <c r="E14" s="58" t="inlineStr">
        <is>
          <t>mean gap between predicted and observed PD.</t>
        </is>
      </c>
    </row>
    <row r="15">
      <c r="A15" s="16" t="inlineStr">
        <is>
          <t>Parsimony Gini tolerance</t>
        </is>
      </c>
      <c r="B15" s="17" t="inlineStr">
        <is>
          <t>≤ 5% relative loss</t>
        </is>
      </c>
      <c r="D15" s="16" t="inlineStr">
        <is>
          <t>EPV</t>
        </is>
      </c>
      <c r="E15" s="58" t="inlineStr">
        <is>
          <t>events (defaults) per variable; data-sufficiency measure.</t>
        </is>
      </c>
    </row>
    <row r="16">
      <c r="A16" s="16" t="inlineStr">
        <is>
          <t>Calibration</t>
        </is>
      </c>
      <c r="B16" s="17" t="inlineStr">
        <is>
          <t>isotonic (here: band empirical rate)</t>
        </is>
      </c>
      <c r="D16" s="16" t="inlineStr">
        <is>
          <t>AIR</t>
        </is>
      </c>
      <c r="E16" s="58" t="inlineStr">
        <is>
          <t>adverse impact ratio; EEOC four-fifths ≥ 0.80.</t>
        </is>
      </c>
    </row>
    <row r="17">
      <c r="A17" s="16" t="inlineStr">
        <is>
          <t>PD floor / cap</t>
        </is>
      </c>
      <c r="B17" s="17" t="inlineStr">
        <is>
          <t>0.03% / 0.999</t>
        </is>
      </c>
      <c r="D17" s="16" t="inlineStr">
        <is>
          <t>EDDSS</t>
        </is>
      </c>
      <c r="E17" s="58" t="inlineStr">
        <is>
          <t>ECOA exception letting a scorecard use age if elderly aren't penalised.</t>
        </is>
      </c>
    </row>
    <row r="18">
      <c r="A18" s="16" t="inlineStr">
        <is>
          <t>EPV sufficiency</t>
        </is>
      </c>
      <c r="B18" s="17" t="inlineStr">
        <is>
          <t>≥ 10</t>
        </is>
      </c>
    </row>
    <row r="19">
      <c r="A19" s="16" t="inlineStr">
        <is>
          <t>Fairness AIR</t>
        </is>
      </c>
      <c r="B19" s="17" t="inlineStr">
        <is>
          <t>≥ 0.80 (four-fifths)</t>
        </is>
      </c>
    </row>
    <row r="20">
      <c r="A20" s="16" t="inlineStr">
        <is>
          <t>Backtest split</t>
        </is>
      </c>
      <c r="B20" s="17" t="inlineStr">
        <is>
          <t>80/20 stratified, seed 42</t>
        </is>
      </c>
    </row>
  </sheetData>
  <mergeCells count="2">
    <mergeCell ref="A4:B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2026-10-15T14:07:57Z</dcterms:created>
  <dcterms:modified xsi:type="dcterms:W3CDTF">2026-10-15T14:07:57Z</dcterms:modified>
</cp:coreProperties>
</file>