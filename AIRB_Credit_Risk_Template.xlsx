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OneDrive\Desktop\Daily reading\Banking_Credit_Risk\"/>
    </mc:Choice>
  </mc:AlternateContent>
  <xr:revisionPtr revIDLastSave="0" documentId="13_ncr:1_{6730B2F1-8EE9-407E-8C71-A8CFB726A188}" xr6:coauthVersionLast="47" xr6:coauthVersionMax="47" xr10:uidLastSave="{00000000-0000-0000-0000-000000000000}"/>
  <bookViews>
    <workbookView xWindow="-110" yWindow="-110" windowWidth="25820" windowHeight="15500" activeTab="1" xr2:uid="{D67142CC-1FDB-4463-8D18-F1C4C4E5B896}"/>
  </bookViews>
  <sheets>
    <sheet name="Calibration Reference" sheetId="5" r:id="rId1"/>
    <sheet name="Portfolio Summary" sheetId="4" r:id="rId2"/>
    <sheet name="AIRB Calculation" sheetId="3" r:id="rId3"/>
    <sheet name="Instructions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3" l="1"/>
  <c r="B3" i="4" s="1"/>
  <c r="H6" i="3"/>
  <c r="I6" i="3" s="1"/>
  <c r="J6" i="3" s="1"/>
  <c r="H5" i="3"/>
  <c r="I5" i="3" s="1"/>
  <c r="J5" i="3" s="1"/>
  <c r="H4" i="3"/>
  <c r="I4" i="3" s="1"/>
  <c r="J4" i="3" s="1"/>
  <c r="H3" i="3"/>
  <c r="I3" i="3" s="1"/>
  <c r="J3" i="3" s="1"/>
  <c r="H2" i="3"/>
  <c r="I2" i="3" s="1"/>
  <c r="I7" i="3" l="1"/>
  <c r="J2" i="3"/>
  <c r="J7" i="3" s="1"/>
  <c r="B5" i="4" s="1"/>
  <c r="B10" i="4" l="1"/>
  <c r="B9" i="4"/>
  <c r="B6" i="4"/>
  <c r="B4" i="4"/>
</calcChain>
</file>

<file path=xl/sharedStrings.xml><?xml version="1.0" encoding="utf-8"?>
<sst xmlns="http://schemas.openxmlformats.org/spreadsheetml/2006/main" count="90" uniqueCount="89">
  <si>
    <t>AIRB CREDIT RISK CALCULATION TEMPLATE</t>
  </si>
  <si>
    <t>OVERVIEW:</t>
  </si>
  <si>
    <t>Advanced IRB approach for calculating credit risk-weighted assets (RWA) under Basel III</t>
  </si>
  <si>
    <t>KEY COMPONENTS:</t>
  </si>
  <si>
    <t>• PD (Probability of Default): 1-year default probability (%)</t>
  </si>
  <si>
    <t>• LGD (Loss Given Default): Loss percentage if default (%)</t>
  </si>
  <si>
    <t>• EAD (Exposure at Default): Total exposure amount</t>
  </si>
  <si>
    <t>• M (Maturity): Time to maturity (1-5 years)</t>
  </si>
  <si>
    <t>FORMULA: RWA = EAD × [PD×LGD×(1+(M-1)×b)/(1-1.5×b)×1.06 - PD×LGD] × 12.5</t>
  </si>
  <si>
    <t>INSTRUCTIONS:</t>
  </si>
  <si>
    <t>1. Use AIRB Calculation sheet</t>
  </si>
  <si>
    <t>2. Enter loan details (gray cells)</t>
  </si>
  <si>
    <t>3. Green cells show calculated RWA and capital requirement</t>
  </si>
  <si>
    <t>4. Check Portfolio Summary for totals</t>
  </si>
  <si>
    <t>Loan ID</t>
  </si>
  <si>
    <t>Borrower</t>
  </si>
  <si>
    <t>Sector</t>
  </si>
  <si>
    <t>EAD ($)</t>
  </si>
  <si>
    <t>PD (%)</t>
  </si>
  <si>
    <t>LGD (%)</t>
  </si>
  <si>
    <t>M (Yrs)</t>
  </si>
  <si>
    <t>Correlation</t>
  </si>
  <si>
    <t>RWA ($)</t>
  </si>
  <si>
    <t>Capital Req ($)</t>
  </si>
  <si>
    <t>Notes</t>
  </si>
  <si>
    <t>L001</t>
  </si>
  <si>
    <t>ABC Corp</t>
  </si>
  <si>
    <t>Manufacturing</t>
  </si>
  <si>
    <t>L002</t>
  </si>
  <si>
    <t>XYZ Inc</t>
  </si>
  <si>
    <t>Retail</t>
  </si>
  <si>
    <t>L003</t>
  </si>
  <si>
    <t>Tech Ltd</t>
  </si>
  <si>
    <t>Technology</t>
  </si>
  <si>
    <t>L004</t>
  </si>
  <si>
    <t>Bank Loan</t>
  </si>
  <si>
    <t>Financial</t>
  </si>
  <si>
    <t>L005</t>
  </si>
  <si>
    <t>Real Estate</t>
  </si>
  <si>
    <t>TOTAL</t>
  </si>
  <si>
    <t>Metric</t>
  </si>
  <si>
    <t>Value</t>
  </si>
  <si>
    <t>Description</t>
  </si>
  <si>
    <t>Total EAD</t>
  </si>
  <si>
    <t>Sum of all exposures</t>
  </si>
  <si>
    <t>Total RWA</t>
  </si>
  <si>
    <t>Risk-weighted assets</t>
  </si>
  <si>
    <t>Capital Required</t>
  </si>
  <si>
    <t>Minimum capital (8% of RWA)</t>
  </si>
  <si>
    <t>RWA/EAD Ratio (%)</t>
  </si>
  <si>
    <t>Risk density</t>
  </si>
  <si>
    <t>REGULATORY MINIMUMS</t>
  </si>
  <si>
    <t>CET1 (4.5%)</t>
  </si>
  <si>
    <t>Common Equity Tier 1</t>
  </si>
  <si>
    <t>Tier 1 (6.0%)</t>
  </si>
  <si>
    <t>Total Tier 1 capital</t>
  </si>
  <si>
    <t>RISK RATING CALIBRATION GUIDELINES</t>
  </si>
  <si>
    <t>Risk Rating</t>
  </si>
  <si>
    <t>PD Range (%)</t>
  </si>
  <si>
    <t>LGD Range (%)</t>
  </si>
  <si>
    <t>Typical Application</t>
  </si>
  <si>
    <t>Excellent</t>
  </si>
  <si>
    <t>0.03 - 0.10</t>
  </si>
  <si>
    <t>20 - 25</t>
  </si>
  <si>
    <t>Blue chip</t>
  </si>
  <si>
    <t>Very Good</t>
  </si>
  <si>
    <t>0.10 - 0.25</t>
  </si>
  <si>
    <t>25 - 35</t>
  </si>
  <si>
    <t>Large corporates</t>
  </si>
  <si>
    <t>Good</t>
  </si>
  <si>
    <t>0.25 - 0.50</t>
  </si>
  <si>
    <t>35 - 45</t>
  </si>
  <si>
    <t>Mid-cap companies</t>
  </si>
  <si>
    <t>Satisfactory</t>
  </si>
  <si>
    <t>0.50 - 1.00</t>
  </si>
  <si>
    <t>40 - 50</t>
  </si>
  <si>
    <t>SMEs</t>
  </si>
  <si>
    <t>Acceptable</t>
  </si>
  <si>
    <t>1.00 - 2.00</t>
  </si>
  <si>
    <t>45 - 55</t>
  </si>
  <si>
    <t>Higher risk</t>
  </si>
  <si>
    <t>Watch</t>
  </si>
  <si>
    <t>2.00 - 5.00</t>
  </si>
  <si>
    <t>50 - 65</t>
  </si>
  <si>
    <t>Stressed</t>
  </si>
  <si>
    <t>Substandard</t>
  </si>
  <si>
    <t>5.00 - 10.00</t>
  </si>
  <si>
    <t>60 - 75</t>
  </si>
  <si>
    <t>Problem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</si>
</sst>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4"/>
      <color indexed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531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8FEEC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0" fillId="0" borderId="1" xfId="0" applyBorder="1"/>
    <xf numFmtId="3" fontId="0" fillId="3" borderId="1" xfId="0" applyNumberFormat="1" applyFill="1" applyBorder="1"/>
    <xf numFmtId="2" fontId="0" fillId="3" borderId="1" xfId="0" applyNumberFormat="1" applyFill="1" applyBorder="1"/>
    <xf numFmtId="164" fontId="0" fillId="3" borderId="1" xfId="0" applyNumberFormat="1" applyFill="1" applyBorder="1"/>
    <xf numFmtId="0" fontId="0" fillId="4" borderId="0" xfId="0" applyFill="1"/>
    <xf numFmtId="165" fontId="0" fillId="4" borderId="1" xfId="0" applyNumberFormat="1" applyFill="1" applyBorder="1"/>
    <xf numFmtId="4" fontId="0" fillId="4" borderId="1" xfId="0" applyNumberFormat="1" applyFill="1" applyBorder="1"/>
    <xf numFmtId="3" fontId="2" fillId="2" borderId="0" xfId="0" applyNumberFormat="1" applyFont="1" applyFill="1"/>
    <xf numFmtId="4" fontId="0" fillId="0" borderId="0" xfId="0" applyNumberFormat="1"/>
    <xf numFmtId="4" fontId="2" fillId="2" borderId="0" xfId="0" applyNumberFormat="1" applyFont="1" applyFill="1"/>
    <xf numFmtId="0" fontId="1" fillId="4" borderId="0" xfId="0" applyFont="1" applyFill="1"/>
    <xf numFmtId="4" fontId="0" fillId="4" borderId="0" xfId="0" applyNumberFormat="1" applyFill="1"/>
    <xf numFmtId="0" fontId="2" fillId="2" borderId="2" xfId="0" applyFont="1" applyFill="1" applyBorder="1"/>
    <xf numFmtId="4" fontId="2" fillId="2" borderId="0" xfId="0" applyNumberFormat="1" applyFont="1" applyFill="1"/>
    <xf numFmtId="0" fontId="2" fillId="2" borderId="0" xfId="0" applyFont="1" applyFill="1"/>
    <xf numFmtId="0" fontId="3" fillId="2" borderId="2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F2CF-6C9E-490A-8EC8-AFD4B40F93A6}">
  <dimension ref="A1:D10"/>
  <sheetViews>
    <sheetView workbookViewId="0">
      <selection activeCell="K10" sqref="K10"/>
    </sheetView>
  </sheetViews>
  <sheetFormatPr defaultRowHeight="14.5" x14ac:dyDescent="0.35"/>
  <cols>
    <col min="1" max="4" width="20.6328125" customWidth="1"/>
  </cols>
  <sheetData>
    <row r="1" spans="1:4" x14ac:dyDescent="0.35">
      <c r="A1" s="2" t="s">
        <v>56</v>
      </c>
    </row>
    <row r="3" spans="1:4" x14ac:dyDescent="0.35">
      <c r="A3" s="2" t="s">
        <v>57</v>
      </c>
      <c r="B3" s="2" t="s">
        <v>58</v>
      </c>
      <c r="C3" s="2" t="s">
        <v>59</v>
      </c>
      <c r="D3" s="2" t="s">
        <v>60</v>
      </c>
    </row>
    <row r="4" spans="1:4" x14ac:dyDescent="0.35">
      <c r="A4" s="3" t="s">
        <v>61</v>
      </c>
      <c r="B4" s="3" t="s">
        <v>62</v>
      </c>
      <c r="C4" s="3" t="s">
        <v>63</v>
      </c>
      <c r="D4" s="3" t="s">
        <v>64</v>
      </c>
    </row>
    <row r="5" spans="1:4" x14ac:dyDescent="0.35">
      <c r="A5" s="3" t="s">
        <v>65</v>
      </c>
      <c r="B5" s="3" t="s">
        <v>66</v>
      </c>
      <c r="C5" s="3" t="s">
        <v>67</v>
      </c>
      <c r="D5" s="3" t="s">
        <v>68</v>
      </c>
    </row>
    <row r="6" spans="1:4" x14ac:dyDescent="0.35">
      <c r="A6" s="3" t="s">
        <v>69</v>
      </c>
      <c r="B6" s="3" t="s">
        <v>70</v>
      </c>
      <c r="C6" s="3" t="s">
        <v>71</v>
      </c>
      <c r="D6" s="3" t="s">
        <v>72</v>
      </c>
    </row>
    <row r="7" spans="1:4" x14ac:dyDescent="0.35">
      <c r="A7" s="3" t="s">
        <v>73</v>
      </c>
      <c r="B7" s="3" t="s">
        <v>74</v>
      </c>
      <c r="C7" s="3" t="s">
        <v>75</v>
      </c>
      <c r="D7" s="3" t="s">
        <v>76</v>
      </c>
    </row>
    <row r="8" spans="1:4" x14ac:dyDescent="0.35">
      <c r="A8" s="3" t="s">
        <v>77</v>
      </c>
      <c r="B8" s="3" t="s">
        <v>78</v>
      </c>
      <c r="C8" s="3" t="s">
        <v>79</v>
      </c>
      <c r="D8" s="3" t="s">
        <v>80</v>
      </c>
    </row>
    <row r="9" spans="1:4" x14ac:dyDescent="0.35">
      <c r="A9" s="3" t="s">
        <v>81</v>
      </c>
      <c r="B9" s="3" t="s">
        <v>82</v>
      </c>
      <c r="C9" s="3" t="s">
        <v>83</v>
      </c>
      <c r="D9" s="3" t="s">
        <v>84</v>
      </c>
    </row>
    <row r="10" spans="1:4" x14ac:dyDescent="0.35">
      <c r="A10" s="3" t="s">
        <v>85</v>
      </c>
      <c r="B10" s="3" t="s">
        <v>86</v>
      </c>
      <c r="C10" s="3" t="s">
        <v>87</v>
      </c>
      <c r="D10" s="3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37FD-479C-4312-9E4A-9F0006936A2B}">
  <dimension ref="A1:C10"/>
  <sheetViews>
    <sheetView tabSelected="1" workbookViewId="0">
      <selection activeCell="B3" sqref="B3"/>
    </sheetView>
  </sheetViews>
  <sheetFormatPr defaultRowHeight="14.5" x14ac:dyDescent="0.35"/>
  <cols>
    <col min="1" max="1" width="30.6328125" customWidth="1"/>
    <col min="2" max="2" width="20.6328125" customWidth="1"/>
    <col min="3" max="3" width="35.6328125" customWidth="1"/>
  </cols>
  <sheetData>
    <row r="1" spans="1:3" x14ac:dyDescent="0.35">
      <c r="A1" s="15"/>
      <c r="B1" s="16"/>
      <c r="C1" s="17"/>
    </row>
    <row r="2" spans="1:3" x14ac:dyDescent="0.35">
      <c r="A2" s="13" t="s">
        <v>40</v>
      </c>
      <c r="B2" s="14" t="s">
        <v>41</v>
      </c>
      <c r="C2" s="7" t="s">
        <v>42</v>
      </c>
    </row>
    <row r="3" spans="1:3" x14ac:dyDescent="0.35">
      <c r="A3" t="s">
        <v>43</v>
      </c>
      <c r="B3" s="11">
        <f>'AIRB Calculation'!D7</f>
        <v>200000</v>
      </c>
      <c r="C3" t="s">
        <v>44</v>
      </c>
    </row>
    <row r="4" spans="1:3" x14ac:dyDescent="0.35">
      <c r="A4" t="s">
        <v>45</v>
      </c>
      <c r="B4" s="11">
        <f>'AIRB Calculation'!I7</f>
        <v>180.7412274804467</v>
      </c>
      <c r="C4" t="s">
        <v>46</v>
      </c>
    </row>
    <row r="5" spans="1:3" x14ac:dyDescent="0.35">
      <c r="A5" t="s">
        <v>47</v>
      </c>
      <c r="B5" s="11">
        <f>'AIRB Calculation'!J7</f>
        <v>14.459298198435736</v>
      </c>
      <c r="C5" t="s">
        <v>48</v>
      </c>
    </row>
    <row r="6" spans="1:3" x14ac:dyDescent="0.35">
      <c r="A6" t="s">
        <v>49</v>
      </c>
      <c r="B6" s="11">
        <f>'AIRB Calculation'!I7/'AIRB Calculation'!D7*100</f>
        <v>9.0370613740223343E-2</v>
      </c>
      <c r="C6" t="s">
        <v>50</v>
      </c>
    </row>
    <row r="7" spans="1:3" x14ac:dyDescent="0.35">
      <c r="B7" s="11"/>
    </row>
    <row r="8" spans="1:3" x14ac:dyDescent="0.35">
      <c r="A8" t="s">
        <v>51</v>
      </c>
      <c r="B8" s="11"/>
    </row>
    <row r="9" spans="1:3" x14ac:dyDescent="0.35">
      <c r="A9" t="s">
        <v>52</v>
      </c>
      <c r="B9" s="11">
        <f>'AIRB Calculation'!I7*0.045</f>
        <v>8.1333552366201012</v>
      </c>
      <c r="C9" t="s">
        <v>53</v>
      </c>
    </row>
    <row r="10" spans="1:3" x14ac:dyDescent="0.35">
      <c r="A10" t="s">
        <v>54</v>
      </c>
      <c r="B10" s="11">
        <f>'AIRB Calculation'!I7*0.06</f>
        <v>10.844473648826801</v>
      </c>
      <c r="C10" t="s">
        <v>55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343A-39A8-4BB1-8A9E-485EF3792407}">
  <dimension ref="A1:K7"/>
  <sheetViews>
    <sheetView workbookViewId="0">
      <selection activeCell="D15" sqref="D15"/>
    </sheetView>
  </sheetViews>
  <sheetFormatPr defaultRowHeight="14.5" x14ac:dyDescent="0.35"/>
  <cols>
    <col min="1" max="1" width="12.6328125" customWidth="1"/>
    <col min="2" max="2" width="20.6328125" customWidth="1"/>
    <col min="3" max="3" width="15.6328125" customWidth="1"/>
    <col min="4" max="4" width="14.6328125" customWidth="1"/>
    <col min="5" max="7" width="10.6328125" customWidth="1"/>
    <col min="8" max="8" width="12.6328125" customWidth="1"/>
    <col min="9" max="9" width="14.6328125" customWidth="1"/>
    <col min="10" max="10" width="15.6328125" customWidth="1"/>
    <col min="11" max="11" width="20.6328125" customWidth="1"/>
  </cols>
  <sheetData>
    <row r="1" spans="1:11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35">
      <c r="A2" s="3" t="s">
        <v>25</v>
      </c>
      <c r="B2" s="3" t="s">
        <v>26</v>
      </c>
      <c r="C2" s="3" t="s">
        <v>27</v>
      </c>
      <c r="D2" s="4">
        <v>100000</v>
      </c>
      <c r="E2" s="5">
        <v>0.1</v>
      </c>
      <c r="F2" s="5">
        <v>45</v>
      </c>
      <c r="G2" s="6">
        <v>2</v>
      </c>
      <c r="H2" s="8">
        <f>MIN(0.03+0.12*(1-EXP(-50*E2/100)),0.999)</f>
        <v>3.5852469059914314E-2</v>
      </c>
      <c r="I2" s="9">
        <f>D2*((E2/100*F2/100*(1+(H2-1)*0.14)/(1-1.5*0.14))*1.06-E2/100*F2/100)*12.5</f>
        <v>90.370613740223348</v>
      </c>
      <c r="J2" s="9">
        <f>I2*0.08</f>
        <v>7.2296490992178679</v>
      </c>
    </row>
    <row r="3" spans="1:11" x14ac:dyDescent="0.35">
      <c r="A3" s="3" t="s">
        <v>28</v>
      </c>
      <c r="B3" s="3" t="s">
        <v>29</v>
      </c>
      <c r="C3" s="3" t="s">
        <v>30</v>
      </c>
      <c r="D3" s="4">
        <v>100000</v>
      </c>
      <c r="E3" s="5">
        <v>0.1</v>
      </c>
      <c r="F3" s="5">
        <v>45</v>
      </c>
      <c r="G3" s="6">
        <v>2</v>
      </c>
      <c r="H3" s="8">
        <f>MIN(0.03+0.12*(1-EXP(-50*E3/100)),0.999)</f>
        <v>3.5852469059914314E-2</v>
      </c>
      <c r="I3" s="9">
        <f>D3*((E3/100*F3/100*(1+(H3-1)*0.14)/(1-1.5*0.14))*1.06-E3/100*F3/100)*12.5</f>
        <v>90.370613740223348</v>
      </c>
      <c r="J3" s="9">
        <f>I3*0.08</f>
        <v>7.2296490992178679</v>
      </c>
    </row>
    <row r="4" spans="1:11" x14ac:dyDescent="0.35">
      <c r="A4" s="3" t="s">
        <v>31</v>
      </c>
      <c r="B4" s="3" t="s">
        <v>32</v>
      </c>
      <c r="C4" s="3" t="s">
        <v>33</v>
      </c>
      <c r="D4" s="4"/>
      <c r="E4" s="5"/>
      <c r="F4" s="5"/>
      <c r="G4" s="6"/>
      <c r="H4" s="8">
        <f>MIN(0.03+0.12*(1-EXP(-50*E4/100)),0.999)</f>
        <v>0.03</v>
      </c>
      <c r="I4" s="9">
        <f>D4*((E4/100*F4/100*(1+(H4-1)*0.14)/(1-1.5*0.14))*1.06-E4/100*F4/100)*12.5</f>
        <v>0</v>
      </c>
      <c r="J4" s="9">
        <f>I4*0.08</f>
        <v>0</v>
      </c>
    </row>
    <row r="5" spans="1:11" x14ac:dyDescent="0.35">
      <c r="A5" s="3" t="s">
        <v>34</v>
      </c>
      <c r="B5" s="3" t="s">
        <v>35</v>
      </c>
      <c r="C5" s="3" t="s">
        <v>36</v>
      </c>
      <c r="D5" s="4"/>
      <c r="E5" s="5"/>
      <c r="F5" s="5"/>
      <c r="G5" s="6"/>
      <c r="H5" s="8">
        <f>MIN(0.03+0.12*(1-EXP(-50*E5/100)),0.999)</f>
        <v>0.03</v>
      </c>
      <c r="I5" s="9">
        <f>D5*((E5/100*F5/100*(1+(H5-1)*0.14)/(1-1.5*0.14))*1.06-E5/100*F5/100)*12.5</f>
        <v>0</v>
      </c>
      <c r="J5" s="9">
        <f>I5*0.08</f>
        <v>0</v>
      </c>
    </row>
    <row r="6" spans="1:11" x14ac:dyDescent="0.35">
      <c r="A6" s="3" t="s">
        <v>37</v>
      </c>
      <c r="B6" s="3" t="s">
        <v>38</v>
      </c>
      <c r="C6" s="3" t="s">
        <v>38</v>
      </c>
      <c r="D6" s="4"/>
      <c r="E6" s="5"/>
      <c r="F6" s="5"/>
      <c r="G6" s="6"/>
      <c r="H6" s="8">
        <f>MIN(0.03+0.12*(1-EXP(-50*E6/100)),0.999)</f>
        <v>0.03</v>
      </c>
      <c r="I6" s="9">
        <f>D6*((E6/100*F6/100*(1+(H6-1)*0.14)/(1-1.5*0.14))*1.06-E6/100*F6/100)*12.5</f>
        <v>0</v>
      </c>
      <c r="J6" s="9">
        <f>I6*0.08</f>
        <v>0</v>
      </c>
    </row>
    <row r="7" spans="1:11" x14ac:dyDescent="0.35">
      <c r="A7" s="1" t="s">
        <v>39</v>
      </c>
      <c r="D7" s="10">
        <f>SUM(D2:D6)</f>
        <v>200000</v>
      </c>
      <c r="I7" s="12">
        <f>SUM(I2:I6)</f>
        <v>180.7412274804467</v>
      </c>
      <c r="J7" s="12">
        <f>SUM(J2:J6)</f>
        <v>14.459298198435736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B8AB-ABA8-449E-8DAF-D57DEB850ECC}">
  <dimension ref="A1:D18"/>
  <sheetViews>
    <sheetView workbookViewId="0"/>
  </sheetViews>
  <sheetFormatPr defaultRowHeight="14.5" x14ac:dyDescent="0.35"/>
  <cols>
    <col min="1" max="1" width="120.6328125" customWidth="1"/>
  </cols>
  <sheetData>
    <row r="1" spans="1:4" ht="18.5" x14ac:dyDescent="0.45">
      <c r="A1" s="18" t="s">
        <v>0</v>
      </c>
      <c r="B1" s="19"/>
      <c r="C1" s="19"/>
      <c r="D1" s="19"/>
    </row>
    <row r="3" spans="1:4" x14ac:dyDescent="0.35">
      <c r="A3" t="s">
        <v>1</v>
      </c>
    </row>
    <row r="4" spans="1:4" x14ac:dyDescent="0.35">
      <c r="A4" t="s">
        <v>2</v>
      </c>
    </row>
    <row r="6" spans="1:4" x14ac:dyDescent="0.35">
      <c r="A6" t="s">
        <v>3</v>
      </c>
    </row>
    <row r="7" spans="1:4" x14ac:dyDescent="0.35">
      <c r="A7" t="s">
        <v>4</v>
      </c>
    </row>
    <row r="8" spans="1:4" x14ac:dyDescent="0.35">
      <c r="A8" t="s">
        <v>5</v>
      </c>
    </row>
    <row r="9" spans="1:4" x14ac:dyDescent="0.35">
      <c r="A9" t="s">
        <v>6</v>
      </c>
    </row>
    <row r="10" spans="1:4" x14ac:dyDescent="0.35">
      <c r="A10" t="s">
        <v>7</v>
      </c>
    </row>
    <row r="12" spans="1:4" x14ac:dyDescent="0.35">
      <c r="A12" t="s">
        <v>8</v>
      </c>
    </row>
    <row r="14" spans="1:4" x14ac:dyDescent="0.35">
      <c r="A14" t="s">
        <v>9</v>
      </c>
    </row>
    <row r="15" spans="1:4" x14ac:dyDescent="0.35">
      <c r="A15" t="s">
        <v>10</v>
      </c>
    </row>
    <row r="16" spans="1:4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1405-4727-4F0F-9FFC-5B2B7FC9284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Calibration Reference</vt:lpstr>
      <vt:lpstr>Portfolio Summary</vt:lpstr>
      <vt:lpstr>AIRB Calculation</vt:lpstr>
      <vt:lpstr>Instructions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Jain_7A</dc:creator>
  <cp:lastModifiedBy>Ravi Jain_7A</cp:lastModifiedBy>
  <dcterms:created xsi:type="dcterms:W3CDTF">2026-06-03T11:02:07Z</dcterms:created>
  <dcterms:modified xsi:type="dcterms:W3CDTF">2026-06-03T11:33:56Z</dcterms:modified>
</cp:coreProperties>
</file>